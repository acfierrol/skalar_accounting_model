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fonso\Downloads\"/>
    </mc:Choice>
  </mc:AlternateContent>
  <xr:revisionPtr revIDLastSave="0" documentId="13_ncr:1_{CBB45476-EA68-4086-8737-531721DDA5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ebt Given By Skalar Cohort Led" sheetId="2" r:id="rId2"/>
    <sheet name="Debt Taken by Skalar Cohort Led" sheetId="3" r:id="rId3"/>
    <sheet name="Structure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26" i="3"/>
  <c r="E16" i="2"/>
  <c r="E8" i="2"/>
  <c r="E9" i="2" s="1"/>
  <c r="J4" i="2"/>
  <c r="I4" i="2"/>
  <c r="H4" i="2"/>
  <c r="G4" i="2"/>
  <c r="F4" i="2"/>
  <c r="E4" i="2"/>
  <c r="D4" i="2"/>
  <c r="E16" i="3"/>
  <c r="F16" i="3"/>
  <c r="G16" i="3"/>
  <c r="H16" i="3"/>
  <c r="I16" i="3"/>
  <c r="J16" i="3"/>
  <c r="D22" i="3"/>
  <c r="D20" i="3"/>
  <c r="D27" i="3"/>
  <c r="D13" i="1" s="1"/>
  <c r="D11" i="3"/>
  <c r="D11" i="2"/>
  <c r="D10" i="2"/>
  <c r="E15" i="2"/>
  <c r="F15" i="2"/>
  <c r="G15" i="2"/>
  <c r="H15" i="2"/>
  <c r="I15" i="2"/>
  <c r="J15" i="2"/>
  <c r="D15" i="2"/>
  <c r="J6" i="3"/>
  <c r="I6" i="3"/>
  <c r="H6" i="3"/>
  <c r="G6" i="3"/>
  <c r="F6" i="3"/>
  <c r="F26" i="3" s="1"/>
  <c r="E6" i="3"/>
  <c r="E26" i="3" s="1"/>
  <c r="D22" i="2"/>
  <c r="F20" i="2"/>
  <c r="G20" i="2"/>
  <c r="H20" i="2"/>
  <c r="I20" i="2"/>
  <c r="J20" i="2"/>
  <c r="E20" i="2"/>
  <c r="D26" i="2"/>
  <c r="D3" i="1" s="1"/>
  <c r="E10" i="2"/>
  <c r="F10" i="2"/>
  <c r="G10" i="2"/>
  <c r="H10" i="2"/>
  <c r="I10" i="2"/>
  <c r="J10" i="2"/>
  <c r="D29" i="3"/>
  <c r="D15" i="1" s="1"/>
  <c r="D20" i="1" s="1"/>
  <c r="J25" i="3"/>
  <c r="J11" i="1" s="1"/>
  <c r="I25" i="3"/>
  <c r="I11" i="1" s="1"/>
  <c r="H25" i="3"/>
  <c r="H11" i="1" s="1"/>
  <c r="G25" i="3"/>
  <c r="G11" i="1" s="1"/>
  <c r="F25" i="3"/>
  <c r="F11" i="1" s="1"/>
  <c r="E25" i="3"/>
  <c r="E11" i="1" s="1"/>
  <c r="D25" i="3"/>
  <c r="D11" i="1" s="1"/>
  <c r="J27" i="2"/>
  <c r="J4" i="1" s="1"/>
  <c r="I27" i="2"/>
  <c r="I4" i="1" s="1"/>
  <c r="H27" i="2"/>
  <c r="H4" i="1" s="1"/>
  <c r="G27" i="2"/>
  <c r="G4" i="1" s="1"/>
  <c r="F27" i="2"/>
  <c r="F4" i="1" s="1"/>
  <c r="E27" i="2"/>
  <c r="E4" i="1" s="1"/>
  <c r="D27" i="2"/>
  <c r="D4" i="1" s="1"/>
  <c r="J26" i="2"/>
  <c r="J3" i="1" s="1"/>
  <c r="I26" i="2"/>
  <c r="I3" i="1" s="1"/>
  <c r="H26" i="2"/>
  <c r="H3" i="1" s="1"/>
  <c r="G26" i="2"/>
  <c r="G3" i="1" s="1"/>
  <c r="F26" i="2"/>
  <c r="F3" i="1" s="1"/>
  <c r="E26" i="2"/>
  <c r="E3" i="1" s="1"/>
  <c r="J25" i="2"/>
  <c r="J2" i="1" s="1"/>
  <c r="I25" i="2"/>
  <c r="I2" i="1" s="1"/>
  <c r="H25" i="2"/>
  <c r="H2" i="1" s="1"/>
  <c r="G25" i="2"/>
  <c r="G2" i="1" s="1"/>
  <c r="F25" i="2"/>
  <c r="F2" i="1" s="1"/>
  <c r="E25" i="2"/>
  <c r="E2" i="1" s="1"/>
  <c r="D25" i="2"/>
  <c r="D2" i="1" s="1"/>
  <c r="C17" i="1"/>
  <c r="C16" i="1"/>
  <c r="C15" i="1"/>
  <c r="C14" i="1"/>
  <c r="C13" i="1"/>
  <c r="C12" i="1"/>
  <c r="C11" i="1"/>
  <c r="C8" i="1"/>
  <c r="C7" i="1"/>
  <c r="C6" i="1"/>
  <c r="C5" i="1"/>
  <c r="C4" i="1"/>
  <c r="C3" i="1"/>
  <c r="C2" i="1"/>
  <c r="D13" i="2" l="1"/>
  <c r="E12" i="1"/>
  <c r="G26" i="3"/>
  <c r="G12" i="1" s="1"/>
  <c r="G30" i="2"/>
  <c r="G32" i="2" s="1"/>
  <c r="H26" i="3"/>
  <c r="H12" i="1" s="1"/>
  <c r="I26" i="3"/>
  <c r="I12" i="1" s="1"/>
  <c r="F12" i="1"/>
  <c r="J26" i="3"/>
  <c r="J12" i="1" s="1"/>
  <c r="D21" i="3"/>
  <c r="D31" i="3" s="1"/>
  <c r="D17" i="1" s="1"/>
  <c r="D22" i="1" s="1"/>
  <c r="D10" i="3"/>
  <c r="D30" i="3" s="1"/>
  <c r="D12" i="3"/>
  <c r="D30" i="2"/>
  <c r="D23" i="2"/>
  <c r="D28" i="3"/>
  <c r="D14" i="1" s="1"/>
  <c r="D7" i="1" l="1"/>
  <c r="D32" i="2"/>
  <c r="D12" i="1"/>
  <c r="D32" i="3"/>
  <c r="E22" i="2"/>
  <c r="E21" i="2"/>
  <c r="F18" i="2" s="1"/>
  <c r="D16" i="1"/>
  <c r="E30" i="2" l="1"/>
  <c r="E32" i="2" s="1"/>
  <c r="E7" i="1" l="1"/>
  <c r="F19" i="2"/>
  <c r="F21" i="2"/>
  <c r="G18" i="2" s="1"/>
  <c r="G21" i="2" l="1"/>
  <c r="H18" i="2" s="1"/>
  <c r="F30" i="2"/>
  <c r="F32" i="2" s="1"/>
  <c r="F22" i="2"/>
  <c r="G19" i="2" l="1"/>
  <c r="G22" i="2" s="1"/>
  <c r="H21" i="2"/>
  <c r="I18" i="2" s="1"/>
  <c r="H19" i="2"/>
  <c r="H22" i="2" s="1"/>
  <c r="F7" i="1"/>
  <c r="I19" i="2" l="1"/>
  <c r="I22" i="2" s="1"/>
  <c r="G7" i="1"/>
  <c r="H30" i="2"/>
  <c r="H32" i="2" s="1"/>
  <c r="I21" i="2" l="1"/>
  <c r="J18" i="2" s="1"/>
  <c r="J19" i="2" s="1"/>
  <c r="J22" i="2" s="1"/>
  <c r="H7" i="1"/>
  <c r="J21" i="2" l="1"/>
  <c r="I30" i="2" l="1"/>
  <c r="I32" i="2" s="1"/>
  <c r="I7" i="1" l="1"/>
  <c r="J30" i="2" l="1"/>
  <c r="J32" i="2" s="1"/>
  <c r="J7" i="1" l="1"/>
  <c r="D29" i="2" l="1"/>
  <c r="D6" i="1" s="1"/>
  <c r="D19" i="1" s="1"/>
  <c r="D28" i="2"/>
  <c r="D5" i="1" s="1"/>
  <c r="D31" i="2"/>
  <c r="D8" i="1" s="1"/>
  <c r="D21" i="1" s="1"/>
  <c r="D23" i="1" l="1"/>
  <c r="D24" i="1" s="1"/>
  <c r="D12" i="2"/>
  <c r="E12" i="2"/>
  <c r="E11" i="2"/>
  <c r="E28" i="2"/>
  <c r="E5" i="1" s="1"/>
  <c r="F8" i="2" l="1"/>
  <c r="F9" i="2" s="1"/>
  <c r="E31" i="2"/>
  <c r="E8" i="1" s="1"/>
  <c r="E21" i="1" s="1"/>
  <c r="E29" i="2"/>
  <c r="E6" i="1" s="1"/>
  <c r="E19" i="1" s="1"/>
  <c r="F11" i="2" l="1"/>
  <c r="G8" i="2" s="1"/>
  <c r="F29" i="2"/>
  <c r="F6" i="1" s="1"/>
  <c r="F19" i="1" s="1"/>
  <c r="F28" i="2"/>
  <c r="F5" i="1" s="1"/>
  <c r="F31" i="2" l="1"/>
  <c r="F8" i="1" s="1"/>
  <c r="F21" i="1" s="1"/>
  <c r="G11" i="2"/>
  <c r="H8" i="2" s="1"/>
  <c r="F12" i="2"/>
  <c r="G9" i="2"/>
  <c r="G29" i="2" s="1"/>
  <c r="G6" i="1" s="1"/>
  <c r="G19" i="1" s="1"/>
  <c r="G28" i="2"/>
  <c r="G5" i="1" s="1"/>
  <c r="G31" i="2" l="1"/>
  <c r="G8" i="1" s="1"/>
  <c r="G21" i="1" s="1"/>
  <c r="H11" i="2"/>
  <c r="I8" i="2" s="1"/>
  <c r="I11" i="2" s="1"/>
  <c r="J8" i="2" s="1"/>
  <c r="G12" i="2"/>
  <c r="H9" i="2"/>
  <c r="H29" i="2" s="1"/>
  <c r="H6" i="1" s="1"/>
  <c r="H19" i="1" s="1"/>
  <c r="H28" i="2"/>
  <c r="H5" i="1" s="1"/>
  <c r="H31" i="2" l="1"/>
  <c r="H8" i="1" s="1"/>
  <c r="H21" i="1" s="1"/>
  <c r="H12" i="2"/>
  <c r="J11" i="2"/>
  <c r="J31" i="2" s="1"/>
  <c r="J8" i="1" s="1"/>
  <c r="J21" i="1" s="1"/>
  <c r="I31" i="2"/>
  <c r="I8" i="1" s="1"/>
  <c r="I21" i="1" s="1"/>
  <c r="I28" i="2"/>
  <c r="I5" i="1" s="1"/>
  <c r="I9" i="2"/>
  <c r="I29" i="2" s="1"/>
  <c r="I6" i="1" s="1"/>
  <c r="I19" i="1" s="1"/>
  <c r="I12" i="2" l="1"/>
  <c r="J28" i="2"/>
  <c r="J5" i="1" s="1"/>
  <c r="J9" i="2"/>
  <c r="J29" i="2" s="1"/>
  <c r="J6" i="1" s="1"/>
  <c r="J19" i="1" s="1"/>
  <c r="J12" i="2" l="1"/>
  <c r="E7" i="3"/>
  <c r="F7" i="3"/>
  <c r="G7" i="3"/>
  <c r="H7" i="3"/>
  <c r="I7" i="3"/>
  <c r="J7" i="3"/>
  <c r="E8" i="3"/>
  <c r="F8" i="3"/>
  <c r="G8" i="3"/>
  <c r="H8" i="3"/>
  <c r="I8" i="3"/>
  <c r="J8" i="3"/>
  <c r="E9" i="3"/>
  <c r="F9" i="3"/>
  <c r="G9" i="3"/>
  <c r="H9" i="3"/>
  <c r="I9" i="3"/>
  <c r="J9" i="3"/>
  <c r="E10" i="3"/>
  <c r="F10" i="3"/>
  <c r="G10" i="3"/>
  <c r="H10" i="3"/>
  <c r="I10" i="3"/>
  <c r="J10" i="3"/>
  <c r="E11" i="3"/>
  <c r="F11" i="3"/>
  <c r="G11" i="3"/>
  <c r="H11" i="3"/>
  <c r="I11" i="3"/>
  <c r="J11" i="3"/>
  <c r="E12" i="3"/>
  <c r="F12" i="3"/>
  <c r="G12" i="3"/>
  <c r="H12" i="3"/>
  <c r="I12" i="3"/>
  <c r="J12" i="3"/>
  <c r="D13" i="3"/>
  <c r="E17" i="3"/>
  <c r="F17" i="3"/>
  <c r="G17" i="3"/>
  <c r="H17" i="3"/>
  <c r="I17" i="3"/>
  <c r="J17" i="3"/>
  <c r="E18" i="3"/>
  <c r="F18" i="3"/>
  <c r="G18" i="3"/>
  <c r="H18" i="3"/>
  <c r="I18" i="3"/>
  <c r="J18" i="3"/>
  <c r="E19" i="3"/>
  <c r="F19" i="3"/>
  <c r="G19" i="3"/>
  <c r="H19" i="3"/>
  <c r="I19" i="3"/>
  <c r="J19" i="3"/>
  <c r="E20" i="3"/>
  <c r="F20" i="3"/>
  <c r="G20" i="3"/>
  <c r="H20" i="3"/>
  <c r="I20" i="3"/>
  <c r="J20" i="3"/>
  <c r="E21" i="3"/>
  <c r="F21" i="3"/>
  <c r="G21" i="3"/>
  <c r="H21" i="3"/>
  <c r="I21" i="3"/>
  <c r="J21" i="3"/>
  <c r="E22" i="3"/>
  <c r="F22" i="3"/>
  <c r="G22" i="3"/>
  <c r="H22" i="3"/>
  <c r="I22" i="3"/>
  <c r="J22" i="3"/>
  <c r="D23" i="3"/>
  <c r="E27" i="3"/>
  <c r="F27" i="3"/>
  <c r="G27" i="3"/>
  <c r="H27" i="3"/>
  <c r="I27" i="3"/>
  <c r="J27" i="3"/>
  <c r="E28" i="3"/>
  <c r="F28" i="3"/>
  <c r="G28" i="3"/>
  <c r="H28" i="3"/>
  <c r="I28" i="3"/>
  <c r="J28" i="3"/>
  <c r="E29" i="3"/>
  <c r="F29" i="3"/>
  <c r="G29" i="3"/>
  <c r="H29" i="3"/>
  <c r="I29" i="3"/>
  <c r="J29" i="3"/>
  <c r="E30" i="3"/>
  <c r="F30" i="3"/>
  <c r="G30" i="3"/>
  <c r="H30" i="3"/>
  <c r="I30" i="3"/>
  <c r="J30" i="3"/>
  <c r="E31" i="3"/>
  <c r="F31" i="3"/>
  <c r="G31" i="3"/>
  <c r="H31" i="3"/>
  <c r="I31" i="3"/>
  <c r="J31" i="3"/>
  <c r="E32" i="3"/>
  <c r="F32" i="3"/>
  <c r="G32" i="3"/>
  <c r="H32" i="3"/>
  <c r="I32" i="3"/>
  <c r="J32" i="3"/>
  <c r="D33" i="3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20" i="1"/>
  <c r="F20" i="1"/>
  <c r="G20" i="1"/>
  <c r="H20" i="1"/>
  <c r="I20" i="1"/>
  <c r="J20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Cardenas</author>
    <author>tc={9eb08145-288a-42e5-910a-b629b42dda9f}</author>
    <author>tc={C54EE89D-FDEE-014D-86C2-36B3F51C3468}</author>
  </authors>
  <commentList>
    <comment ref="C4" authorId="0" shapeId="0" xr:uid="{6551AF13-CCC2-3E4E-B28F-FB10B2063BB0}">
      <text>
        <r>
          <rPr>
            <b/>
            <sz val="10"/>
            <color rgb="FF000000"/>
            <rFont val="Tahoma"/>
            <family val="2"/>
          </rPr>
          <t>Sebastian Cardenas: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calendar days in each period's month (DAY(EOMONTH(date,0))). Drives interest accrual on rows 8 and 19 via (1+rate)^(days/365).</t>
        </r>
      </text>
    </comment>
    <comment ref="B5" authorId="1" shapeId="0" xr:uid="{9EB08145-288A-42E5-910A-B629B42DDA9F}">
      <text>
        <t>[Threaded comment]
Your version of Excel allows you to read this threaded comment; however, any edits to it will get removed if the file is opened in a newer version of Excel. Learn more: https://go.microsoft.com/fwlink/?linkid=870924
Comment:
    2 gap months because of Kindroids net 60</t>
      </text>
    </comment>
    <comment ref="B15" authorId="2" shapeId="0" xr:uid="{C54EE89D-FDEE-014D-86C2-36B3F51C3468}">
      <text>
        <t>[Threaded comment]
Your version of Excel allows you to read this threaded comment; however, any edits to it will get removed if the file is opened in a newer version of Excel. Learn more: https://go.microsoft.com/fwlink/?linkid=870924
Comment:
    2 gap months because of Kindroids net 60</t>
      </text>
    </comment>
    <comment ref="J21" authorId="0" shapeId="0" xr:uid="{6E84620C-8946-A443-85B2-010F9DDE29A8}">
      <text>
        <r>
          <rPr>
            <b/>
            <sz val="10"/>
            <color rgb="FF000000"/>
            <rFont val="Tahoma"/>
            <family val="2"/>
          </rPr>
          <t>Sebastian Cardenas: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 ya se llego al MOIC esto se resta del interes o se tira a provision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Cardenas</author>
  </authors>
  <commentList>
    <comment ref="B10" authorId="0" shapeId="0" xr:uid="{A6368C25-2852-8642-88C5-F99596CA73FB}">
      <text>
        <r>
          <rPr>
            <b/>
            <sz val="10"/>
            <color rgb="FF000000"/>
            <rFont val="Tahoma"/>
            <family val="2"/>
          </rPr>
          <t>Sebastian Cardenas: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Includes the negative and the positive cashflow - not just the nettings
</t>
        </r>
      </text>
    </comment>
  </commentList>
</comments>
</file>

<file path=xl/sharedStrings.xml><?xml version="1.0" encoding="utf-8"?>
<sst xmlns="http://schemas.openxmlformats.org/spreadsheetml/2006/main" count="90" uniqueCount="39">
  <si>
    <t>Debt Given By Skalar</t>
  </si>
  <si>
    <t>Debt Taken by Skalar</t>
  </si>
  <si>
    <t>Revenue</t>
  </si>
  <si>
    <t>Cost of Capital (COGS)</t>
  </si>
  <si>
    <t>Outstanding Principal Lended</t>
  </si>
  <si>
    <t>Outstanding Principal Borrowed</t>
  </si>
  <si>
    <t>Skalar Period Cash Impact</t>
  </si>
  <si>
    <t>Check</t>
  </si>
  <si>
    <t>IRR for EIR Method</t>
  </si>
  <si>
    <t>June 2026 Loan</t>
  </si>
  <si>
    <t>Date</t>
  </si>
  <si>
    <t>Outflows (all principal)</t>
  </si>
  <si>
    <t>Inflows</t>
  </si>
  <si>
    <t>Principal</t>
  </si>
  <si>
    <t>Interest (Revenue)</t>
  </si>
  <si>
    <t>Net</t>
  </si>
  <si>
    <t>Principal Outstanding</t>
  </si>
  <si>
    <t>July 2026 Loan</t>
  </si>
  <si>
    <t>Consolidated Loans</t>
  </si>
  <si>
    <t>Outflows</t>
  </si>
  <si>
    <t>Interest (COGS)</t>
  </si>
  <si>
    <t>IRR</t>
  </si>
  <si>
    <t>Loan Cohort</t>
  </si>
  <si>
    <t>Skalar Contraparty</t>
  </si>
  <si>
    <t>Days in Month</t>
  </si>
  <si>
    <t>Type</t>
  </si>
  <si>
    <t>Under/Over</t>
  </si>
  <si>
    <t>Investment Request</t>
  </si>
  <si>
    <t>Payment Due</t>
  </si>
  <si>
    <t>Kindroid</t>
  </si>
  <si>
    <t>Transacted USD Amount (neg from Skalar, pos to Skalar)</t>
  </si>
  <si>
    <t>1Have Transacted Amount Ledger for every underlying company</t>
  </si>
  <si>
    <t>2Have tab of inflows, outflows per company con calculo de principal/interest por cohorte y consolidado (igual al debt given tab)</t>
  </si>
  <si>
    <t>2.1Un Extra* Track Revenue per company per month internally - basado en consolidado de interes por compania</t>
  </si>
  <si>
    <t>3 Companies get consolidated into cross-cohorts - from point 2</t>
  </si>
  <si>
    <t>4. Generate debt taken from point 3 - input GC transaction dates</t>
  </si>
  <si>
    <t>5 Generate accounting from points 3,4</t>
  </si>
  <si>
    <t>6. Generate Payments "ToDo" based on netting for each company / GC</t>
  </si>
  <si>
    <t>December 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</si>
</sst>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mm&quot;  &quot;yy"/>
    <numFmt numFmtId="165" formatCode="&quot;$&quot;#,##0.00"/>
    <numFmt numFmtId="166" formatCode="m/d/yyyy"/>
    <numFmt numFmtId="167" formatCode="&quot;$&quot;#,##0"/>
    <numFmt numFmtId="168" formatCode="0.0%"/>
    <numFmt numFmtId="169" formatCode="0.000%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000000"/>
      <name val="Arial"/>
      <family val="2"/>
      <scheme val="minor"/>
    </font>
    <font>
      <b/>
      <sz val="10"/>
      <color rgb="FF0000FF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0"/>
      <color theme="3" tint="-0.24997711111789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2" fillId="0" borderId="1" xfId="0" applyNumberFormat="1" applyFont="1" applyBorder="1"/>
    <xf numFmtId="166" fontId="1" fillId="2" borderId="0" xfId="0" applyNumberFormat="1" applyFont="1" applyFill="1"/>
    <xf numFmtId="167" fontId="2" fillId="0" borderId="0" xfId="0" applyNumberFormat="1" applyFont="1"/>
    <xf numFmtId="0" fontId="1" fillId="0" borderId="0" xfId="0" applyFont="1"/>
    <xf numFmtId="9" fontId="5" fillId="3" borderId="0" xfId="0" applyNumberFormat="1" applyFont="1" applyFill="1"/>
    <xf numFmtId="164" fontId="1" fillId="0" borderId="0" xfId="0" applyNumberFormat="1" applyFont="1"/>
    <xf numFmtId="165" fontId="5" fillId="3" borderId="0" xfId="0" applyNumberFormat="1" applyFont="1" applyFill="1"/>
    <xf numFmtId="0" fontId="5" fillId="0" borderId="0" xfId="0" applyFont="1"/>
    <xf numFmtId="0" fontId="10" fillId="0" borderId="0" xfId="0" applyFont="1"/>
    <xf numFmtId="168" fontId="10" fillId="0" borderId="0" xfId="0" applyNumberFormat="1" applyFont="1"/>
    <xf numFmtId="0" fontId="6" fillId="0" borderId="0" xfId="0" applyFont="1"/>
    <xf numFmtId="165" fontId="10" fillId="0" borderId="0" xfId="0" applyNumberFormat="1" applyFont="1"/>
    <xf numFmtId="169" fontId="1" fillId="0" borderId="0" xfId="2" applyNumberFormat="1" applyFont="1"/>
    <xf numFmtId="9" fontId="2" fillId="0" borderId="0" xfId="2" applyFont="1"/>
    <xf numFmtId="10" fontId="2" fillId="0" borderId="0" xfId="2" applyNumberFormat="1" applyFont="1"/>
    <xf numFmtId="165" fontId="5" fillId="0" borderId="0" xfId="0" applyNumberFormat="1" applyFont="1"/>
    <xf numFmtId="9" fontId="2" fillId="0" borderId="0" xfId="0" applyNumberFormat="1" applyFont="1"/>
    <xf numFmtId="14" fontId="11" fillId="3" borderId="0" xfId="0" applyNumberFormat="1" applyFont="1" applyFill="1"/>
    <xf numFmtId="1" fontId="6" fillId="0" borderId="0" xfId="0" applyNumberFormat="1" applyFont="1"/>
    <xf numFmtId="43" fontId="1" fillId="0" borderId="0" xfId="1" applyFont="1"/>
    <xf numFmtId="17" fontId="6" fillId="0" borderId="0" xfId="0" applyNumberFormat="1" applyFont="1"/>
    <xf numFmtId="16" fontId="0" fillId="0" borderId="0" xfId="0" applyNumberFormat="1"/>
    <xf numFmtId="165" fontId="12" fillId="0" borderId="0" xfId="0" applyNumberFormat="1" applyFont="1"/>
    <xf numFmtId="165" fontId="13" fillId="0" borderId="0" xfId="0" applyNumberFormat="1" applyFont="1"/>
    <xf numFmtId="165" fontId="1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Cardenas" id="{58A1A3D6-955C-4F2A-B2D4-5AD8E34903A9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6-11T19:12:22.00" personId="{58A1A3D6-955C-4F2A-B2D4-5AD8E34903A9}" id="{9EB08145-288A-42E5-910A-B629B42DDA9F}">
    <text>2 gap months because of Kindroids net 60</text>
  </threadedComment>
  <threadedComment ref="B15" dT="2026-06-11T19:12:22.00" personId="{58A1A3D6-955C-4F2A-B2D4-5AD8E34903A9}" id="{C54EE89D-FDEE-014D-86C2-36B3F51C3468}">
    <text>2 gap months because of Kindroids net 60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45DEDB-19FE-A541-A1B4-2C530A66710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c17960a-9554-4a6b-812c-32b51b9bc2c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J24"/>
  <sheetViews>
    <sheetView showGridLines="0" topLeftCell="B1" workbookViewId="0">
      <selection activeCell="D19" sqref="D19:D23"/>
    </sheetView>
  </sheetViews>
  <sheetFormatPr defaultColWidth="12.7109375" defaultRowHeight="15.75" customHeight="1" x14ac:dyDescent="0.2"/>
  <cols>
    <col min="1" max="1" width="17.85546875" customWidth="1"/>
    <col min="2" max="2" width="18.85546875" bestFit="1" customWidth="1"/>
    <col min="3" max="3" width="28.7109375" customWidth="1"/>
    <col min="4" max="10" width="11.7109375" bestFit="1" customWidth="1"/>
  </cols>
  <sheetData>
    <row r="2" spans="2:10" ht="15.75" customHeight="1" x14ac:dyDescent="0.2">
      <c r="B2" s="1" t="s">
        <v>0</v>
      </c>
      <c r="C2" s="1" t="str">
        <f>'Debt Given By Skalar Cohort Led'!C25</f>
        <v>Date</v>
      </c>
      <c r="D2" s="2">
        <f>'Debt Given By Skalar Cohort Led'!D25</f>
        <v>46181</v>
      </c>
      <c r="E2" s="2">
        <f>'Debt Given By Skalar Cohort Led'!E25</f>
        <v>46201</v>
      </c>
      <c r="F2" s="2">
        <f>'Debt Given By Skalar Cohort Led'!F25</f>
        <v>46231</v>
      </c>
      <c r="G2" s="2">
        <f>'Debt Given By Skalar Cohort Led'!G25</f>
        <v>46262</v>
      </c>
      <c r="H2" s="2">
        <f>'Debt Given By Skalar Cohort Led'!H25</f>
        <v>46293</v>
      </c>
      <c r="I2" s="2">
        <f>'Debt Given By Skalar Cohort Led'!I25</f>
        <v>46323</v>
      </c>
      <c r="J2" s="2">
        <f>'Debt Given By Skalar Cohort Led'!J25</f>
        <v>46354</v>
      </c>
    </row>
    <row r="3" spans="2:10" ht="15.75" customHeight="1" x14ac:dyDescent="0.2">
      <c r="B3" s="3"/>
      <c r="C3" s="1" t="str">
        <f>'Debt Given By Skalar Cohort Led'!C26</f>
        <v>Outflows (all principal)</v>
      </c>
      <c r="D3" s="4">
        <f>'Debt Given By Skalar Cohort Led'!D26</f>
        <v>-160000</v>
      </c>
      <c r="E3" s="4">
        <f>'Debt Given By Skalar Cohort Led'!E26</f>
        <v>-212000</v>
      </c>
      <c r="F3" s="4">
        <f>'Debt Given By Skalar Cohort Led'!F26</f>
        <v>6000</v>
      </c>
      <c r="G3" s="4">
        <f>'Debt Given By Skalar Cohort Led'!G26</f>
        <v>0</v>
      </c>
      <c r="H3" s="4">
        <f>'Debt Given By Skalar Cohort Led'!H26</f>
        <v>0</v>
      </c>
      <c r="I3" s="4">
        <f>'Debt Given By Skalar Cohort Led'!I26</f>
        <v>0</v>
      </c>
      <c r="J3" s="4">
        <f>'Debt Given By Skalar Cohort Led'!J26</f>
        <v>0</v>
      </c>
    </row>
    <row r="4" spans="2:10" ht="15.75" customHeight="1" x14ac:dyDescent="0.2">
      <c r="B4" s="3"/>
      <c r="C4" s="1" t="str">
        <f>'Debt Given By Skalar Cohort Led'!C27</f>
        <v>Inflows</v>
      </c>
      <c r="D4" s="4">
        <f>'Debt Given By Skalar Cohort Led'!D27</f>
        <v>0</v>
      </c>
      <c r="E4" s="4">
        <f>'Debt Given By Skalar Cohort Led'!E27</f>
        <v>0</v>
      </c>
      <c r="F4" s="4">
        <f>'Debt Given By Skalar Cohort Led'!F27</f>
        <v>84000</v>
      </c>
      <c r="G4" s="4">
        <f>'Debt Given By Skalar Cohort Led'!G27</f>
        <v>45000</v>
      </c>
      <c r="H4" s="4">
        <f>'Debt Given By Skalar Cohort Led'!H27</f>
        <v>30000</v>
      </c>
      <c r="I4" s="4">
        <f>'Debt Given By Skalar Cohort Led'!I27</f>
        <v>22500</v>
      </c>
      <c r="J4" s="4">
        <f>'Debt Given By Skalar Cohort Led'!J27</f>
        <v>0</v>
      </c>
    </row>
    <row r="5" spans="2:10" ht="15.75" customHeight="1" x14ac:dyDescent="0.2">
      <c r="B5" s="5"/>
      <c r="C5" s="6" t="str">
        <f>'Debt Given By Skalar Cohort Led'!C28</f>
        <v>Principal</v>
      </c>
      <c r="D5" s="4">
        <f>'Debt Given By Skalar Cohort Led'!D28</f>
        <v>0</v>
      </c>
      <c r="E5" s="4">
        <f>'Debt Given By Skalar Cohort Led'!E28</f>
        <v>-2961.5659189615981</v>
      </c>
      <c r="F5" s="4">
        <f>'Debt Given By Skalar Cohort Led'!F28</f>
        <v>76825.993260131392</v>
      </c>
      <c r="G5" s="4">
        <f>'Debt Given By Skalar Cohort Led'!G28</f>
        <v>39410.673632446968</v>
      </c>
      <c r="H5" s="4">
        <f>'Debt Given By Skalar Cohort Led'!H28</f>
        <v>25322.115951065316</v>
      </c>
      <c r="I5" s="4">
        <f>'Debt Given By Skalar Cohort Led'!I28</f>
        <v>11783.626693606879</v>
      </c>
      <c r="J5" s="4">
        <f>'Debt Given By Skalar Cohort Led'!J28</f>
        <v>-3991.0646563457849</v>
      </c>
    </row>
    <row r="6" spans="2:10" ht="15.75" customHeight="1" x14ac:dyDescent="0.2">
      <c r="B6" s="5"/>
      <c r="C6" s="7" t="str">
        <f>'Debt Given By Skalar Cohort Led'!C29</f>
        <v>Interest (Revenue)</v>
      </c>
      <c r="D6" s="8">
        <f>'Debt Given By Skalar Cohort Led'!D29</f>
        <v>0</v>
      </c>
      <c r="E6" s="8">
        <f>'Debt Given By Skalar Cohort Led'!E29</f>
        <v>2961.5659189615981</v>
      </c>
      <c r="F6" s="8">
        <f>'Debt Given By Skalar Cohort Led'!F29</f>
        <v>7174.0067398686078</v>
      </c>
      <c r="G6" s="8">
        <f>'Debt Given By Skalar Cohort Led'!G29</f>
        <v>5589.3263675530325</v>
      </c>
      <c r="H6" s="8">
        <f>'Debt Given By Skalar Cohort Led'!H29</f>
        <v>4677.884048934684</v>
      </c>
      <c r="I6" s="8">
        <f>'Debt Given By Skalar Cohort Led'!I29</f>
        <v>10716.373306393121</v>
      </c>
      <c r="J6" s="8">
        <f>'Debt Given By Skalar Cohort Led'!J29</f>
        <v>3991.0646563457849</v>
      </c>
    </row>
    <row r="7" spans="2:10" ht="15.75" customHeight="1" x14ac:dyDescent="0.2">
      <c r="B7" s="3"/>
      <c r="C7" s="1" t="str">
        <f>'Debt Given By Skalar Cohort Led'!C30</f>
        <v>Net</v>
      </c>
      <c r="D7" s="4">
        <f>'Debt Given By Skalar Cohort Led'!D30</f>
        <v>-160000</v>
      </c>
      <c r="E7" s="4">
        <f>'Debt Given By Skalar Cohort Led'!E30</f>
        <v>-212000</v>
      </c>
      <c r="F7" s="4">
        <f>'Debt Given By Skalar Cohort Led'!F30</f>
        <v>90000</v>
      </c>
      <c r="G7" s="4">
        <f>'Debt Given By Skalar Cohort Led'!G30</f>
        <v>45000</v>
      </c>
      <c r="H7" s="4">
        <f>'Debt Given By Skalar Cohort Led'!H30</f>
        <v>30000</v>
      </c>
      <c r="I7" s="4">
        <f>'Debt Given By Skalar Cohort Led'!I30</f>
        <v>22500</v>
      </c>
      <c r="J7" s="4">
        <f>'Debt Given By Skalar Cohort Led'!J30</f>
        <v>0</v>
      </c>
    </row>
    <row r="8" spans="2:10" ht="15.75" customHeight="1" x14ac:dyDescent="0.2">
      <c r="C8" s="1" t="str">
        <f>'Debt Given By Skalar Cohort Led'!C31</f>
        <v>Principal Outstanding</v>
      </c>
      <c r="D8" s="4">
        <f>'Debt Given By Skalar Cohort Led'!D31</f>
        <v>-160000</v>
      </c>
      <c r="E8" s="4">
        <f>'Debt Given By Skalar Cohort Led'!E31</f>
        <v>-374961.5659189616</v>
      </c>
      <c r="F8" s="4">
        <f>'Debt Given By Skalar Cohort Led'!F31</f>
        <v>-292135.57265883021</v>
      </c>
      <c r="G8" s="4">
        <f>'Debt Given By Skalar Cohort Led'!G31</f>
        <v>-252724.89902638324</v>
      </c>
      <c r="H8" s="4">
        <f>'Debt Given By Skalar Cohort Led'!H31</f>
        <v>-227402.78307531792</v>
      </c>
      <c r="I8" s="4">
        <f>'Debt Given By Skalar Cohort Led'!I31</f>
        <v>-215619.15638171104</v>
      </c>
      <c r="J8" s="4">
        <f>'Debt Given By Skalar Cohort Led'!J31</f>
        <v>-219610.22103805683</v>
      </c>
    </row>
    <row r="11" spans="2:10" ht="15.75" customHeight="1" x14ac:dyDescent="0.2">
      <c r="B11" s="1" t="s">
        <v>1</v>
      </c>
      <c r="C11" s="1" t="str">
        <f>'Debt Taken by Skalar Cohort Led'!C25</f>
        <v>Date</v>
      </c>
      <c r="D11" s="9">
        <f>'Debt Taken by Skalar Cohort Led'!D25</f>
        <v>46178</v>
      </c>
      <c r="E11" s="9">
        <f>'Debt Taken by Skalar Cohort Led'!E25</f>
        <v>46201</v>
      </c>
      <c r="F11" s="9">
        <f>'Debt Taken by Skalar Cohort Led'!F25</f>
        <v>46231</v>
      </c>
      <c r="G11" s="9">
        <f>'Debt Taken by Skalar Cohort Led'!G25</f>
        <v>46262</v>
      </c>
      <c r="H11" s="9">
        <f>'Debt Taken by Skalar Cohort Led'!H25</f>
        <v>46293</v>
      </c>
      <c r="I11" s="9">
        <f>'Debt Taken by Skalar Cohort Led'!I25</f>
        <v>46323</v>
      </c>
      <c r="J11" s="9">
        <f>'Debt Taken by Skalar Cohort Led'!J25</f>
        <v>46354</v>
      </c>
    </row>
    <row r="12" spans="2:10" ht="15.75" customHeight="1" x14ac:dyDescent="0.2">
      <c r="C12" s="1" t="str">
        <f>'Debt Taken by Skalar Cohort Led'!C26</f>
        <v>Inflows</v>
      </c>
      <c r="D12" s="4">
        <f>'Debt Taken by Skalar Cohort Led'!D26</f>
        <v>152000</v>
      </c>
      <c r="E12" s="4">
        <f>'Debt Taken by Skalar Cohort Led'!E26</f>
        <v>178600</v>
      </c>
      <c r="F12" s="4">
        <f>'Debt Taken by Skalar Cohort Led'!F26</f>
        <v>5700</v>
      </c>
      <c r="G12" s="4">
        <f>'Debt Taken by Skalar Cohort Led'!G26</f>
        <v>0</v>
      </c>
      <c r="H12" s="4">
        <f>'Debt Taken by Skalar Cohort Led'!H26</f>
        <v>0</v>
      </c>
      <c r="I12" s="4">
        <f>'Debt Taken by Skalar Cohort Led'!I26</f>
        <v>0</v>
      </c>
      <c r="J12" s="4">
        <f>'Debt Taken by Skalar Cohort Led'!J26</f>
        <v>0</v>
      </c>
    </row>
    <row r="13" spans="2:10" ht="15.75" customHeight="1" x14ac:dyDescent="0.2">
      <c r="C13" s="1" t="str">
        <f>'Debt Taken by Skalar Cohort Led'!C27</f>
        <v>Outflows</v>
      </c>
      <c r="D13" s="4">
        <f>'Debt Taken by Skalar Cohort Led'!D27</f>
        <v>0</v>
      </c>
      <c r="E13" s="4">
        <f ca="1">'Debt Taken by Skalar Cohort Led'!E27</f>
        <v>0</v>
      </c>
      <c r="F13" s="4">
        <f ca="1">'Debt Taken by Skalar Cohort Led'!F27</f>
        <v>-79800</v>
      </c>
      <c r="G13" s="4">
        <f ca="1">'Debt Taken by Skalar Cohort Led'!G27</f>
        <v>-42750</v>
      </c>
      <c r="H13" s="4">
        <f ca="1">'Debt Taken by Skalar Cohort Led'!H27</f>
        <v>-28157.970471606131</v>
      </c>
      <c r="I13" s="4">
        <f ca="1">'Debt Taken by Skalar Cohort Led'!I27</f>
        <v>0</v>
      </c>
      <c r="J13" s="4">
        <f ca="1">'Debt Taken by Skalar Cohort Led'!J27</f>
        <v>0</v>
      </c>
    </row>
    <row r="14" spans="2:10" ht="15.75" customHeight="1" x14ac:dyDescent="0.2">
      <c r="C14" s="6" t="str">
        <f>'Debt Taken by Skalar Cohort Led'!C28</f>
        <v>Principal</v>
      </c>
      <c r="D14" s="4">
        <f>'Debt Taken by Skalar Cohort Led'!D28</f>
        <v>0</v>
      </c>
      <c r="E14" s="4">
        <f ca="1">'Debt Taken by Skalar Cohort Led'!E28</f>
        <v>1428.2474347176612</v>
      </c>
      <c r="F14" s="4">
        <f ca="1">'Debt Taken by Skalar Cohort Led'!F28</f>
        <v>-75724.813237761118</v>
      </c>
      <c r="G14" s="4">
        <f ca="1">'Debt Taken by Skalar Cohort Led'!G28</f>
        <v>-39426.402773275157</v>
      </c>
      <c r="H14" s="4">
        <f ca="1">'Debt Taken by Skalar Cohort Led'!H28</f>
        <v>-25334.509753849678</v>
      </c>
      <c r="I14" s="4">
        <f ca="1">'Debt Taken by Skalar Cohort Led'!I28</f>
        <v>2420.8787037541333</v>
      </c>
      <c r="J14" s="4">
        <f ca="1">'Debt Taken by Skalar Cohort Led'!J28</f>
        <v>2532.7939910178829</v>
      </c>
    </row>
    <row r="15" spans="2:10" ht="15.75" customHeight="1" x14ac:dyDescent="0.2">
      <c r="C15" s="7" t="str">
        <f>'Debt Taken by Skalar Cohort Led'!C29</f>
        <v>Interest (COGS)</v>
      </c>
      <c r="D15" s="8">
        <f>'Debt Taken by Skalar Cohort Led'!D29</f>
        <v>0</v>
      </c>
      <c r="E15" s="8">
        <f ca="1">'Debt Taken by Skalar Cohort Led'!E29</f>
        <v>-1428.2474347176612</v>
      </c>
      <c r="F15" s="8">
        <f ca="1">'Debt Taken by Skalar Cohort Led'!F29</f>
        <v>-4075.1867622388818</v>
      </c>
      <c r="G15" s="8">
        <f ca="1">'Debt Taken by Skalar Cohort Led'!G29</f>
        <v>-3323.5972267248435</v>
      </c>
      <c r="H15" s="8">
        <f ca="1">'Debt Taken by Skalar Cohort Led'!H29</f>
        <v>-2823.460717756454</v>
      </c>
      <c r="I15" s="8">
        <f ca="1">'Debt Taken by Skalar Cohort Led'!I29</f>
        <v>-2420.8787037541333</v>
      </c>
      <c r="J15" s="8">
        <f ca="1">'Debt Taken by Skalar Cohort Led'!J29</f>
        <v>-2532.7939910178829</v>
      </c>
    </row>
    <row r="16" spans="2:10" ht="15.75" customHeight="1" x14ac:dyDescent="0.2">
      <c r="C16" s="1" t="str">
        <f>'Debt Taken by Skalar Cohort Led'!C30</f>
        <v>Net</v>
      </c>
      <c r="D16" s="4">
        <f>'Debt Taken by Skalar Cohort Led'!D30</f>
        <v>152000</v>
      </c>
      <c r="E16" s="4">
        <f ca="1">'Debt Taken by Skalar Cohort Led'!E30</f>
        <v>178600</v>
      </c>
      <c r="F16" s="4">
        <f ca="1">'Debt Taken by Skalar Cohort Led'!F30</f>
        <v>-74100</v>
      </c>
      <c r="G16" s="4">
        <f ca="1">'Debt Taken by Skalar Cohort Led'!G30</f>
        <v>-42750</v>
      </c>
      <c r="H16" s="4">
        <f ca="1">'Debt Taken by Skalar Cohort Led'!H30</f>
        <v>-28157.970471606131</v>
      </c>
      <c r="I16" s="4">
        <f ca="1">'Debt Taken by Skalar Cohort Led'!I30</f>
        <v>0</v>
      </c>
      <c r="J16" s="4">
        <f ca="1">'Debt Taken by Skalar Cohort Led'!J30</f>
        <v>0</v>
      </c>
    </row>
    <row r="17" spans="3:10" ht="15.75" customHeight="1" x14ac:dyDescent="0.2">
      <c r="C17" s="1" t="str">
        <f>'Debt Taken by Skalar Cohort Led'!C31</f>
        <v>Principal Outstanding</v>
      </c>
      <c r="D17" s="4">
        <f>'Debt Taken by Skalar Cohort Led'!D31</f>
        <v>152000</v>
      </c>
      <c r="E17" s="4">
        <f ca="1">'Debt Taken by Skalar Cohort Led'!E31</f>
        <v>332028.24743471766</v>
      </c>
      <c r="F17" s="4">
        <f ca="1">'Debt Taken by Skalar Cohort Led'!F31</f>
        <v>262003.43419695654</v>
      </c>
      <c r="G17" s="4">
        <f ca="1">'Debt Taken by Skalar Cohort Led'!G31</f>
        <v>222577.03142368139</v>
      </c>
      <c r="H17" s="4">
        <f ca="1">'Debt Taken by Skalar Cohort Led'!H31</f>
        <v>197242.52166983171</v>
      </c>
      <c r="I17" s="4">
        <f ca="1">'Debt Taken by Skalar Cohort Led'!I31</f>
        <v>199663.40037358584</v>
      </c>
      <c r="J17" s="4">
        <f ca="1">'Debt Taken by Skalar Cohort Led'!J31</f>
        <v>202196.19436460373</v>
      </c>
    </row>
    <row r="19" spans="3:10" ht="15.75" customHeight="1" x14ac:dyDescent="0.2">
      <c r="C19" s="1" t="s">
        <v>2</v>
      </c>
      <c r="D19" s="4">
        <f t="shared" ref="D19:J19" si="0">D6</f>
        <v>0</v>
      </c>
      <c r="E19" s="4">
        <f t="shared" si="0"/>
        <v>2961.5659189615981</v>
      </c>
      <c r="F19" s="4">
        <f t="shared" si="0"/>
        <v>7174.0067398686078</v>
      </c>
      <c r="G19" s="4">
        <f t="shared" si="0"/>
        <v>5589.3263675530325</v>
      </c>
      <c r="H19" s="4">
        <f t="shared" si="0"/>
        <v>4677.884048934684</v>
      </c>
      <c r="I19" s="4">
        <f t="shared" si="0"/>
        <v>10716.373306393121</v>
      </c>
      <c r="J19" s="4">
        <f t="shared" si="0"/>
        <v>3991.0646563457849</v>
      </c>
    </row>
    <row r="20" spans="3:10" ht="15.75" customHeight="1" x14ac:dyDescent="0.2">
      <c r="C20" s="1" t="s">
        <v>3</v>
      </c>
      <c r="D20" s="4">
        <f t="shared" ref="D20:J20" si="1">D15</f>
        <v>0</v>
      </c>
      <c r="E20" s="4">
        <f t="shared" ca="1" si="1"/>
        <v>-1428.2474347176612</v>
      </c>
      <c r="F20" s="4">
        <f t="shared" ca="1" si="1"/>
        <v>-4075.1867622388818</v>
      </c>
      <c r="G20" s="4">
        <f t="shared" ca="1" si="1"/>
        <v>-3323.5972267248435</v>
      </c>
      <c r="H20" s="4">
        <f t="shared" ca="1" si="1"/>
        <v>-2823.460717756454</v>
      </c>
      <c r="I20" s="4">
        <f t="shared" ca="1" si="1"/>
        <v>-2420.8787037541333</v>
      </c>
      <c r="J20" s="4">
        <f t="shared" ca="1" si="1"/>
        <v>-2532.7939910178829</v>
      </c>
    </row>
    <row r="21" spans="3:10" ht="15.75" customHeight="1" x14ac:dyDescent="0.2">
      <c r="C21" s="1" t="s">
        <v>4</v>
      </c>
      <c r="D21" s="4">
        <f t="shared" ref="D21:J21" si="2">D8</f>
        <v>-160000</v>
      </c>
      <c r="E21" s="4">
        <f t="shared" si="2"/>
        <v>-374961.5659189616</v>
      </c>
      <c r="F21" s="4">
        <f t="shared" si="2"/>
        <v>-292135.57265883021</v>
      </c>
      <c r="G21" s="4">
        <f t="shared" si="2"/>
        <v>-252724.89902638324</v>
      </c>
      <c r="H21" s="4">
        <f t="shared" si="2"/>
        <v>-227402.78307531792</v>
      </c>
      <c r="I21" s="4">
        <f t="shared" si="2"/>
        <v>-215619.15638171104</v>
      </c>
      <c r="J21" s="4">
        <f t="shared" si="2"/>
        <v>-219610.22103805683</v>
      </c>
    </row>
    <row r="22" spans="3:10" ht="15.75" customHeight="1" x14ac:dyDescent="0.2">
      <c r="C22" s="1" t="s">
        <v>5</v>
      </c>
      <c r="D22" s="4">
        <f t="shared" ref="D22:J22" si="3">D17</f>
        <v>152000</v>
      </c>
      <c r="E22" s="4">
        <f t="shared" ca="1" si="3"/>
        <v>332028.24743471766</v>
      </c>
      <c r="F22" s="4">
        <f t="shared" ca="1" si="3"/>
        <v>262003.43419695654</v>
      </c>
      <c r="G22" s="4">
        <f t="shared" ca="1" si="3"/>
        <v>222577.03142368139</v>
      </c>
      <c r="H22" s="4">
        <f t="shared" ca="1" si="3"/>
        <v>197242.52166983171</v>
      </c>
      <c r="I22" s="4">
        <f t="shared" ca="1" si="3"/>
        <v>199663.40037358584</v>
      </c>
      <c r="J22" s="4">
        <f t="shared" ca="1" si="3"/>
        <v>202196.19436460373</v>
      </c>
    </row>
    <row r="23" spans="3:10" ht="15.75" customHeight="1" x14ac:dyDescent="0.2">
      <c r="C23" s="1" t="s">
        <v>6</v>
      </c>
      <c r="D23" s="4">
        <f>SUM(D19:D22)</f>
        <v>-8000</v>
      </c>
      <c r="E23" s="4">
        <f t="shared" ref="E23:J23" ca="1" si="4">SUM(E19:E22)-SUM(D21:D22)</f>
        <v>-33400</v>
      </c>
      <c r="F23" s="4">
        <f t="shared" ca="1" si="4"/>
        <v>15899.999999999971</v>
      </c>
      <c r="G23" s="4">
        <f t="shared" ca="1" si="4"/>
        <v>2250</v>
      </c>
      <c r="H23" s="4">
        <f t="shared" ca="1" si="4"/>
        <v>1842.0295283938758</v>
      </c>
      <c r="I23" s="4">
        <f t="shared" ca="1" si="4"/>
        <v>22500</v>
      </c>
      <c r="J23" s="4">
        <f t="shared" ca="1" si="4"/>
        <v>0</v>
      </c>
    </row>
    <row r="24" spans="3:10" ht="15.75" customHeight="1" x14ac:dyDescent="0.2">
      <c r="C24" s="1" t="s">
        <v>7</v>
      </c>
      <c r="D24" s="10">
        <f>D7+D16-D23</f>
        <v>0</v>
      </c>
      <c r="E24" s="10">
        <f t="shared" ref="E24:J24" ca="1" si="5">E7+E16-E23</f>
        <v>0</v>
      </c>
      <c r="F24" s="10">
        <f t="shared" ca="1" si="5"/>
        <v>2.9103830456733704E-11</v>
      </c>
      <c r="G24" s="10">
        <f t="shared" ca="1" si="5"/>
        <v>0</v>
      </c>
      <c r="H24" s="10">
        <f t="shared" ca="1" si="5"/>
        <v>-7.2759576141834259E-12</v>
      </c>
      <c r="I24" s="10">
        <f t="shared" ca="1" si="5"/>
        <v>0</v>
      </c>
      <c r="J24" s="10">
        <f t="shared" ca="1" si="5"/>
        <v>0</v>
      </c>
    </row>
  </sheetData>
  <pageMargins left="0.7" right="0.7" top="0.75" bottom="0.75" header="0.3" footer="0.3"/>
  <ignoredErrors>
    <ignoredError sqref="D20 E20:J20 D21:J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L32"/>
  <sheetViews>
    <sheetView showGridLines="0" tabSelected="1" zoomScale="113" zoomScaleNormal="113" workbookViewId="0">
      <selection activeCell="D6" sqref="D6"/>
    </sheetView>
  </sheetViews>
  <sheetFormatPr defaultColWidth="12.7109375" defaultRowHeight="15.75" customHeight="1" x14ac:dyDescent="0.2"/>
  <cols>
    <col min="2" max="2" width="23.42578125" customWidth="1"/>
    <col min="3" max="3" width="21.85546875" bestFit="1" customWidth="1"/>
    <col min="4" max="10" width="11.7109375" bestFit="1" customWidth="1"/>
  </cols>
  <sheetData>
    <row r="2" spans="2:12" ht="15.75" customHeight="1" x14ac:dyDescent="0.2">
      <c r="B2" s="11" t="s">
        <v>8</v>
      </c>
      <c r="C2" s="12">
        <v>0.25</v>
      </c>
      <c r="D2" s="13"/>
      <c r="E2" s="11"/>
      <c r="F2" s="11"/>
      <c r="G2" s="11"/>
      <c r="H2" s="11"/>
      <c r="I2" s="11"/>
      <c r="J2" s="11"/>
    </row>
    <row r="3" spans="2:12" ht="15.75" customHeight="1" x14ac:dyDescent="0.2">
      <c r="B3" s="11"/>
      <c r="C3" s="17"/>
      <c r="D3" s="13"/>
      <c r="E3" s="13"/>
      <c r="F3" s="27"/>
      <c r="G3" s="27"/>
      <c r="H3" s="27"/>
      <c r="I3" s="27"/>
      <c r="J3" s="13"/>
    </row>
    <row r="4" spans="2:12" ht="15.75" customHeight="1" x14ac:dyDescent="0.2">
      <c r="B4" s="11"/>
      <c r="C4" s="16" t="s">
        <v>24</v>
      </c>
      <c r="D4" s="26">
        <f t="shared" ref="D4:J4" si="0">DAY(EOMONTH(D5,0))</f>
        <v>30</v>
      </c>
      <c r="E4" s="26">
        <f t="shared" si="0"/>
        <v>30</v>
      </c>
      <c r="F4" s="26">
        <f t="shared" si="0"/>
        <v>31</v>
      </c>
      <c r="G4" s="26">
        <f t="shared" si="0"/>
        <v>31</v>
      </c>
      <c r="H4" s="26">
        <f t="shared" si="0"/>
        <v>30</v>
      </c>
      <c r="I4" s="26">
        <f t="shared" si="0"/>
        <v>31</v>
      </c>
      <c r="J4" s="26">
        <f t="shared" si="0"/>
        <v>30</v>
      </c>
      <c r="K4" s="20"/>
    </row>
    <row r="5" spans="2:12" ht="15.75" customHeight="1" x14ac:dyDescent="0.2">
      <c r="B5" s="1" t="s">
        <v>9</v>
      </c>
      <c r="C5" s="1" t="s">
        <v>10</v>
      </c>
      <c r="D5" s="2">
        <v>46181</v>
      </c>
      <c r="E5" s="2">
        <v>46201</v>
      </c>
      <c r="F5" s="2">
        <v>46231</v>
      </c>
      <c r="G5" s="2">
        <v>46262</v>
      </c>
      <c r="H5" s="2">
        <v>46293</v>
      </c>
      <c r="I5" s="2">
        <v>46323</v>
      </c>
      <c r="J5" s="2">
        <v>46354</v>
      </c>
    </row>
    <row r="6" spans="2:12" ht="15.75" customHeight="1" x14ac:dyDescent="0.2">
      <c r="B6" s="3"/>
      <c r="C6" s="1" t="s">
        <v>11</v>
      </c>
      <c r="D6" s="14">
        <v>-160000</v>
      </c>
      <c r="E6" s="14">
        <v>-12000</v>
      </c>
      <c r="F6" s="14">
        <v>6000</v>
      </c>
      <c r="G6" s="14"/>
      <c r="H6" s="14"/>
      <c r="I6" s="14"/>
      <c r="J6" s="14"/>
    </row>
    <row r="7" spans="2:12" ht="15.75" customHeight="1" x14ac:dyDescent="0.2">
      <c r="B7" s="3"/>
      <c r="C7" s="1" t="s">
        <v>12</v>
      </c>
      <c r="D7" s="14">
        <v>0</v>
      </c>
      <c r="E7" s="14"/>
      <c r="F7" s="14">
        <v>84000</v>
      </c>
      <c r="G7" s="14">
        <v>45000</v>
      </c>
      <c r="H7" s="14">
        <v>30000</v>
      </c>
      <c r="I7" s="14">
        <v>22500</v>
      </c>
      <c r="J7" s="14"/>
    </row>
    <row r="8" spans="2:12" ht="15.75" customHeight="1" x14ac:dyDescent="0.2">
      <c r="B8" s="5"/>
      <c r="C8" s="6" t="s">
        <v>13</v>
      </c>
      <c r="D8" s="4"/>
      <c r="E8" s="4">
        <f t="shared" ref="E8:J8" si="1">MIN(E7-(-D11*POWER((1+$C$2),E$4/365)+D11),-D11)</f>
        <v>-2961.5659189615981</v>
      </c>
      <c r="F8" s="4">
        <f t="shared" si="1"/>
        <v>80652.522372407984</v>
      </c>
      <c r="G8" s="4">
        <f t="shared" si="1"/>
        <v>43310.414369959064</v>
      </c>
      <c r="H8" s="4">
        <f t="shared" si="1"/>
        <v>29167.08495894129</v>
      </c>
      <c r="I8" s="4">
        <f t="shared" si="1"/>
        <v>15831.54421765326</v>
      </c>
      <c r="J8" s="4">
        <f t="shared" si="1"/>
        <v>0</v>
      </c>
    </row>
    <row r="9" spans="2:12" ht="15.75" customHeight="1" x14ac:dyDescent="0.2">
      <c r="B9" s="5"/>
      <c r="C9" s="7" t="s">
        <v>14</v>
      </c>
      <c r="D9" s="8"/>
      <c r="E9" s="8">
        <f t="shared" ref="E9:J9" si="2">E7-E8</f>
        <v>2961.5659189615981</v>
      </c>
      <c r="F9" s="8">
        <f t="shared" si="2"/>
        <v>3347.4776275920158</v>
      </c>
      <c r="G9" s="8">
        <f t="shared" si="2"/>
        <v>1689.5856300409359</v>
      </c>
      <c r="H9" s="8">
        <f t="shared" si="2"/>
        <v>832.9150410587099</v>
      </c>
      <c r="I9" s="8">
        <f t="shared" si="2"/>
        <v>6668.4557823467403</v>
      </c>
      <c r="J9" s="8">
        <f t="shared" si="2"/>
        <v>0</v>
      </c>
    </row>
    <row r="10" spans="2:12" ht="15.75" customHeight="1" x14ac:dyDescent="0.2">
      <c r="B10" s="3"/>
      <c r="C10" s="1" t="s">
        <v>15</v>
      </c>
      <c r="D10" s="4">
        <f>SUM(D6,D7)</f>
        <v>-160000</v>
      </c>
      <c r="E10" s="4">
        <f t="shared" ref="E10:J10" si="3">SUM(E6,E7)</f>
        <v>-12000</v>
      </c>
      <c r="F10" s="4">
        <f t="shared" si="3"/>
        <v>90000</v>
      </c>
      <c r="G10" s="4">
        <f t="shared" si="3"/>
        <v>45000</v>
      </c>
      <c r="H10" s="4">
        <f t="shared" si="3"/>
        <v>30000</v>
      </c>
      <c r="I10" s="4">
        <f t="shared" si="3"/>
        <v>22500</v>
      </c>
      <c r="J10" s="4">
        <f t="shared" si="3"/>
        <v>0</v>
      </c>
    </row>
    <row r="11" spans="2:12" ht="15.75" customHeight="1" x14ac:dyDescent="0.2">
      <c r="C11" s="1" t="s">
        <v>16</v>
      </c>
      <c r="D11" s="4">
        <f>D6</f>
        <v>-160000</v>
      </c>
      <c r="E11" s="4">
        <f t="shared" ref="E11:J11" si="4">D11+E8+E6</f>
        <v>-174961.5659189616</v>
      </c>
      <c r="F11" s="4">
        <f t="shared" si="4"/>
        <v>-88309.043546553614</v>
      </c>
      <c r="G11" s="4">
        <f t="shared" si="4"/>
        <v>-44998.62917659455</v>
      </c>
      <c r="H11" s="4">
        <f t="shared" si="4"/>
        <v>-15831.54421765326</v>
      </c>
      <c r="I11" s="4">
        <f t="shared" si="4"/>
        <v>0</v>
      </c>
      <c r="J11" s="4">
        <f t="shared" si="4"/>
        <v>0</v>
      </c>
    </row>
    <row r="12" spans="2:12" ht="15.75" customHeight="1" x14ac:dyDescent="0.2">
      <c r="C12" s="1" t="s">
        <v>7</v>
      </c>
      <c r="D12" s="4">
        <f t="shared" ref="D12:J12" si="5">D7-D8-D9</f>
        <v>0</v>
      </c>
      <c r="E12" s="4">
        <f t="shared" si="5"/>
        <v>0</v>
      </c>
      <c r="F12" s="4">
        <f t="shared" si="5"/>
        <v>0</v>
      </c>
      <c r="G12" s="4">
        <f t="shared" si="5"/>
        <v>0</v>
      </c>
      <c r="H12" s="4">
        <f t="shared" si="5"/>
        <v>0</v>
      </c>
      <c r="I12" s="4">
        <f t="shared" si="5"/>
        <v>0</v>
      </c>
      <c r="J12" s="4">
        <f t="shared" si="5"/>
        <v>0</v>
      </c>
    </row>
    <row r="13" spans="2:12" ht="15.75" customHeight="1" x14ac:dyDescent="0.2">
      <c r="C13" s="1" t="s">
        <v>21</v>
      </c>
      <c r="D13" s="21">
        <f>XIRR(D10:J10,D$5:J$5)</f>
        <v>0.50993114113807658</v>
      </c>
      <c r="E13" s="4"/>
      <c r="F13" s="4"/>
      <c r="G13" s="4"/>
      <c r="H13" s="4"/>
      <c r="I13" s="4"/>
      <c r="J13" s="4"/>
    </row>
    <row r="14" spans="2:12" ht="15.75" customHeight="1" x14ac:dyDescent="0.2">
      <c r="C14" s="18"/>
      <c r="D14" s="19"/>
      <c r="E14" s="19"/>
      <c r="F14" s="19"/>
      <c r="G14" s="19"/>
      <c r="H14" s="19"/>
      <c r="I14" s="19"/>
      <c r="J14" s="19"/>
    </row>
    <row r="15" spans="2:12" ht="15.75" customHeight="1" x14ac:dyDescent="0.2">
      <c r="B15" s="1" t="s">
        <v>17</v>
      </c>
      <c r="C15" s="1" t="s">
        <v>10</v>
      </c>
      <c r="D15" s="2">
        <f>D5</f>
        <v>46181</v>
      </c>
      <c r="E15" s="2">
        <f t="shared" ref="E15:J15" si="6">E5</f>
        <v>46201</v>
      </c>
      <c r="F15" s="2">
        <f t="shared" si="6"/>
        <v>46231</v>
      </c>
      <c r="G15" s="2">
        <f t="shared" si="6"/>
        <v>46262</v>
      </c>
      <c r="H15" s="2">
        <f t="shared" si="6"/>
        <v>46293</v>
      </c>
      <c r="I15" s="2">
        <f t="shared" si="6"/>
        <v>46323</v>
      </c>
      <c r="J15" s="2">
        <f t="shared" si="6"/>
        <v>46354</v>
      </c>
      <c r="K15" s="13"/>
      <c r="L15" s="13"/>
    </row>
    <row r="16" spans="2:12" ht="15.75" customHeight="1" x14ac:dyDescent="0.2">
      <c r="B16" s="3"/>
      <c r="C16" s="1" t="s">
        <v>11</v>
      </c>
      <c r="D16" s="23"/>
      <c r="E16" s="14">
        <f>-250000*0.8</f>
        <v>-200000</v>
      </c>
      <c r="F16" s="14"/>
      <c r="G16" s="14"/>
      <c r="H16" s="14"/>
      <c r="I16" s="14"/>
      <c r="J16" s="14"/>
      <c r="K16" s="15"/>
    </row>
    <row r="17" spans="2:11" ht="15.75" customHeight="1" x14ac:dyDescent="0.2">
      <c r="B17" s="3"/>
      <c r="C17" s="1" t="s">
        <v>12</v>
      </c>
      <c r="D17" s="23"/>
      <c r="E17" s="14"/>
      <c r="F17" s="14"/>
      <c r="G17" s="14"/>
      <c r="H17" s="14"/>
      <c r="I17" s="14"/>
      <c r="J17" s="14"/>
      <c r="K17" s="15"/>
    </row>
    <row r="18" spans="2:11" ht="15.75" customHeight="1" x14ac:dyDescent="0.2">
      <c r="B18" s="5"/>
      <c r="C18" s="6" t="s">
        <v>13</v>
      </c>
      <c r="D18" s="4"/>
      <c r="E18" s="4"/>
      <c r="F18" s="4">
        <f>MIN(F17-(-E21*POWER((1+$C$2),F$4/365)+E21),-E21)</f>
        <v>-3826.5291122765921</v>
      </c>
      <c r="G18" s="4">
        <f t="shared" ref="G18:I18" si="7">MIN(G17-(-F21*POWER((1+$C$2),G$4/365)+F21),-F21)</f>
        <v>-3899.7407375120965</v>
      </c>
      <c r="H18" s="4">
        <f t="shared" si="7"/>
        <v>-3844.9690078759741</v>
      </c>
      <c r="I18" s="4">
        <f t="shared" si="7"/>
        <v>-4047.917524046381</v>
      </c>
      <c r="J18" s="4">
        <f>MIN(J17-(-I21*POWER((1+$C$2),J$4/365)+I21),-I21)</f>
        <v>-3991.0646563457849</v>
      </c>
    </row>
    <row r="19" spans="2:11" ht="15.75" customHeight="1" x14ac:dyDescent="0.2">
      <c r="B19" s="5"/>
      <c r="C19" s="7" t="s">
        <v>14</v>
      </c>
      <c r="D19" s="8"/>
      <c r="E19" s="8"/>
      <c r="F19" s="8">
        <f>F17-F18</f>
        <v>3826.5291122765921</v>
      </c>
      <c r="G19" s="8">
        <f t="shared" ref="G19:I19" si="8">G17-G18</f>
        <v>3899.7407375120965</v>
      </c>
      <c r="H19" s="8">
        <f t="shared" si="8"/>
        <v>3844.9690078759741</v>
      </c>
      <c r="I19" s="8">
        <f t="shared" si="8"/>
        <v>4047.917524046381</v>
      </c>
      <c r="J19" s="8">
        <f>J17-J18</f>
        <v>3991.0646563457849</v>
      </c>
    </row>
    <row r="20" spans="2:11" ht="15.75" customHeight="1" x14ac:dyDescent="0.2">
      <c r="B20" s="3"/>
      <c r="C20" s="1" t="s">
        <v>15</v>
      </c>
      <c r="D20" s="4"/>
      <c r="E20" s="4">
        <f>SUM(E16,E17)</f>
        <v>-200000</v>
      </c>
      <c r="F20" s="4">
        <f t="shared" ref="F20:J20" si="9">SUM(F16,F17)</f>
        <v>0</v>
      </c>
      <c r="G20" s="4">
        <f t="shared" si="9"/>
        <v>0</v>
      </c>
      <c r="H20" s="4">
        <f t="shared" si="9"/>
        <v>0</v>
      </c>
      <c r="I20" s="4">
        <f t="shared" si="9"/>
        <v>0</v>
      </c>
      <c r="J20" s="4">
        <f t="shared" si="9"/>
        <v>0</v>
      </c>
    </row>
    <row r="21" spans="2:11" ht="15.75" customHeight="1" x14ac:dyDescent="0.2">
      <c r="C21" s="1" t="s">
        <v>16</v>
      </c>
      <c r="D21" s="4"/>
      <c r="E21" s="4">
        <f t="shared" ref="E21" si="10">D21+E18+E16</f>
        <v>-200000</v>
      </c>
      <c r="F21" s="4">
        <f t="shared" ref="F21" si="11">E21+F18+F16</f>
        <v>-203826.52911227659</v>
      </c>
      <c r="G21" s="4">
        <f t="shared" ref="G21" si="12">F21+G18+G16</f>
        <v>-207726.26984978869</v>
      </c>
      <c r="H21" s="4">
        <f t="shared" ref="H21" si="13">G21+H18+H16</f>
        <v>-211571.23885766466</v>
      </c>
      <c r="I21" s="4">
        <f t="shared" ref="I21" si="14">H21+I18+I16</f>
        <v>-215619.15638171104</v>
      </c>
      <c r="J21" s="4">
        <f>I21+J18+J16</f>
        <v>-219610.22103805683</v>
      </c>
    </row>
    <row r="22" spans="2:11" ht="15.75" customHeight="1" x14ac:dyDescent="0.2">
      <c r="C22" s="1" t="s">
        <v>7</v>
      </c>
      <c r="D22" s="4">
        <f>D17-D18-D19</f>
        <v>0</v>
      </c>
      <c r="E22" s="4">
        <f t="shared" ref="E22:J22" si="15">E17-E18-E19</f>
        <v>0</v>
      </c>
      <c r="F22" s="4">
        <f t="shared" si="15"/>
        <v>0</v>
      </c>
      <c r="G22" s="4">
        <f t="shared" si="15"/>
        <v>0</v>
      </c>
      <c r="H22" s="4">
        <f t="shared" si="15"/>
        <v>0</v>
      </c>
      <c r="I22" s="4">
        <f t="shared" si="15"/>
        <v>0</v>
      </c>
      <c r="J22" s="4">
        <f t="shared" si="15"/>
        <v>0</v>
      </c>
    </row>
    <row r="23" spans="2:11" ht="15.75" customHeight="1" x14ac:dyDescent="0.2">
      <c r="C23" s="1" t="s">
        <v>21</v>
      </c>
      <c r="D23" s="21" t="e">
        <f>XIRR(E20:J20,E$5:J$5)</f>
        <v>#NUM!</v>
      </c>
    </row>
    <row r="25" spans="2:11" ht="15.75" customHeight="1" x14ac:dyDescent="0.2">
      <c r="B25" s="1" t="s">
        <v>18</v>
      </c>
      <c r="C25" s="1" t="s">
        <v>10</v>
      </c>
      <c r="D25" s="2">
        <f t="shared" ref="D25:J25" si="16">D5</f>
        <v>46181</v>
      </c>
      <c r="E25" s="2">
        <f t="shared" si="16"/>
        <v>46201</v>
      </c>
      <c r="F25" s="2">
        <f t="shared" si="16"/>
        <v>46231</v>
      </c>
      <c r="G25" s="2">
        <f t="shared" si="16"/>
        <v>46262</v>
      </c>
      <c r="H25" s="2">
        <f t="shared" si="16"/>
        <v>46293</v>
      </c>
      <c r="I25" s="2">
        <f t="shared" si="16"/>
        <v>46323</v>
      </c>
      <c r="J25" s="2">
        <f t="shared" si="16"/>
        <v>46354</v>
      </c>
    </row>
    <row r="26" spans="2:11" ht="15.75" customHeight="1" x14ac:dyDescent="0.2">
      <c r="C26" s="1" t="s">
        <v>11</v>
      </c>
      <c r="D26" s="4">
        <f t="shared" ref="D26:J31" si="17">SUM(D6,D16)</f>
        <v>-160000</v>
      </c>
      <c r="E26" s="4">
        <f t="shared" si="17"/>
        <v>-212000</v>
      </c>
      <c r="F26" s="4">
        <f t="shared" si="17"/>
        <v>6000</v>
      </c>
      <c r="G26" s="4">
        <f t="shared" si="17"/>
        <v>0</v>
      </c>
      <c r="H26" s="4">
        <f t="shared" si="17"/>
        <v>0</v>
      </c>
      <c r="I26" s="4">
        <f t="shared" si="17"/>
        <v>0</v>
      </c>
      <c r="J26" s="4">
        <f t="shared" si="17"/>
        <v>0</v>
      </c>
    </row>
    <row r="27" spans="2:11" ht="15.75" customHeight="1" x14ac:dyDescent="0.2">
      <c r="C27" s="1" t="s">
        <v>12</v>
      </c>
      <c r="D27" s="4">
        <f t="shared" si="17"/>
        <v>0</v>
      </c>
      <c r="E27" s="4">
        <f t="shared" si="17"/>
        <v>0</v>
      </c>
      <c r="F27" s="4">
        <f t="shared" si="17"/>
        <v>84000</v>
      </c>
      <c r="G27" s="4">
        <f t="shared" si="17"/>
        <v>45000</v>
      </c>
      <c r="H27" s="4">
        <f t="shared" si="17"/>
        <v>30000</v>
      </c>
      <c r="I27" s="4">
        <f t="shared" si="17"/>
        <v>22500</v>
      </c>
      <c r="J27" s="4">
        <f t="shared" si="17"/>
        <v>0</v>
      </c>
    </row>
    <row r="28" spans="2:11" ht="15.75" customHeight="1" x14ac:dyDescent="0.2">
      <c r="C28" s="6" t="s">
        <v>13</v>
      </c>
      <c r="D28" s="4">
        <f t="shared" si="17"/>
        <v>0</v>
      </c>
      <c r="E28" s="4">
        <f t="shared" si="17"/>
        <v>-2961.5659189615981</v>
      </c>
      <c r="F28" s="4">
        <f t="shared" si="17"/>
        <v>76825.993260131392</v>
      </c>
      <c r="G28" s="4">
        <f t="shared" si="17"/>
        <v>39410.673632446968</v>
      </c>
      <c r="H28" s="4">
        <f t="shared" si="17"/>
        <v>25322.115951065316</v>
      </c>
      <c r="I28" s="4">
        <f t="shared" si="17"/>
        <v>11783.626693606879</v>
      </c>
      <c r="J28" s="4">
        <f t="shared" si="17"/>
        <v>-3991.0646563457849</v>
      </c>
    </row>
    <row r="29" spans="2:11" ht="15.75" customHeight="1" x14ac:dyDescent="0.2">
      <c r="C29" s="7" t="s">
        <v>14</v>
      </c>
      <c r="D29" s="8">
        <f t="shared" si="17"/>
        <v>0</v>
      </c>
      <c r="E29" s="8">
        <f t="shared" si="17"/>
        <v>2961.5659189615981</v>
      </c>
      <c r="F29" s="8">
        <f t="shared" si="17"/>
        <v>7174.0067398686078</v>
      </c>
      <c r="G29" s="8">
        <f t="shared" si="17"/>
        <v>5589.3263675530325</v>
      </c>
      <c r="H29" s="8">
        <f t="shared" si="17"/>
        <v>4677.884048934684</v>
      </c>
      <c r="I29" s="8">
        <f t="shared" si="17"/>
        <v>10716.373306393121</v>
      </c>
      <c r="J29" s="8">
        <f t="shared" si="17"/>
        <v>3991.0646563457849</v>
      </c>
    </row>
    <row r="30" spans="2:11" ht="15.75" customHeight="1" x14ac:dyDescent="0.2">
      <c r="C30" s="1" t="s">
        <v>15</v>
      </c>
      <c r="D30" s="4">
        <f t="shared" si="17"/>
        <v>-160000</v>
      </c>
      <c r="E30" s="4">
        <f t="shared" si="17"/>
        <v>-212000</v>
      </c>
      <c r="F30" s="4">
        <f t="shared" si="17"/>
        <v>90000</v>
      </c>
      <c r="G30" s="4">
        <f t="shared" si="17"/>
        <v>45000</v>
      </c>
      <c r="H30" s="4">
        <f t="shared" si="17"/>
        <v>30000</v>
      </c>
      <c r="I30" s="4">
        <f t="shared" si="17"/>
        <v>22500</v>
      </c>
      <c r="J30" s="4">
        <f t="shared" si="17"/>
        <v>0</v>
      </c>
    </row>
    <row r="31" spans="2:11" ht="15.75" customHeight="1" x14ac:dyDescent="0.2">
      <c r="C31" s="1" t="s">
        <v>16</v>
      </c>
      <c r="D31" s="4">
        <f t="shared" si="17"/>
        <v>-160000</v>
      </c>
      <c r="E31" s="4">
        <f t="shared" si="17"/>
        <v>-374961.5659189616</v>
      </c>
      <c r="F31" s="4">
        <f t="shared" si="17"/>
        <v>-292135.57265883021</v>
      </c>
      <c r="G31" s="4">
        <f t="shared" si="17"/>
        <v>-252724.89902638324</v>
      </c>
      <c r="H31" s="4">
        <f t="shared" si="17"/>
        <v>-227402.78307531792</v>
      </c>
      <c r="I31" s="4">
        <f t="shared" si="17"/>
        <v>-215619.15638171104</v>
      </c>
      <c r="J31" s="4">
        <f t="shared" si="17"/>
        <v>-219610.22103805683</v>
      </c>
    </row>
    <row r="32" spans="2:11" ht="15.75" customHeight="1" x14ac:dyDescent="0.2">
      <c r="C32" s="3" t="s">
        <v>7</v>
      </c>
      <c r="D32" s="4">
        <f t="shared" ref="D32:J32" si="18">SUM(D26,D27)-D30</f>
        <v>0</v>
      </c>
      <c r="E32" s="4">
        <f t="shared" si="18"/>
        <v>0</v>
      </c>
      <c r="F32" s="4">
        <f t="shared" si="18"/>
        <v>0</v>
      </c>
      <c r="G32" s="4">
        <f>SUM(G26,G27)-G30</f>
        <v>0</v>
      </c>
      <c r="H32" s="4">
        <f t="shared" si="18"/>
        <v>0</v>
      </c>
      <c r="I32" s="4">
        <f t="shared" si="18"/>
        <v>0</v>
      </c>
      <c r="J32" s="4">
        <f t="shared" si="18"/>
        <v>0</v>
      </c>
      <c r="K32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L33"/>
  <sheetViews>
    <sheetView showGridLines="0" workbookViewId="0">
      <selection activeCell="A22" sqref="A22"/>
    </sheetView>
  </sheetViews>
  <sheetFormatPr defaultColWidth="12.7109375" defaultRowHeight="15.75" customHeight="1" x14ac:dyDescent="0.2"/>
  <cols>
    <col min="2" max="2" width="23.42578125" customWidth="1"/>
    <col min="3" max="3" width="19" bestFit="1" customWidth="1"/>
    <col min="4" max="6" width="11.7109375" bestFit="1" customWidth="1"/>
    <col min="7" max="7" width="14.140625" bestFit="1" customWidth="1"/>
    <col min="8" max="8" width="15.140625" bestFit="1" customWidth="1"/>
    <col min="9" max="9" width="15.42578125" customWidth="1"/>
    <col min="10" max="10" width="13.140625" bestFit="1" customWidth="1"/>
  </cols>
  <sheetData>
    <row r="2" spans="2:12" ht="15.75" customHeight="1" x14ac:dyDescent="0.2">
      <c r="B2" s="11" t="s">
        <v>8</v>
      </c>
      <c r="C2" s="24">
        <v>0.16</v>
      </c>
      <c r="D2" s="13"/>
      <c r="E2" s="11"/>
      <c r="F2" s="11"/>
      <c r="G2" s="11"/>
      <c r="H2" s="11"/>
      <c r="I2" s="11"/>
      <c r="J2" s="11"/>
    </row>
    <row r="3" spans="2:12" ht="15.75" customHeight="1" x14ac:dyDescent="0.2">
      <c r="B3" s="11"/>
      <c r="C3" s="24"/>
      <c r="D3" s="13"/>
      <c r="E3" s="11"/>
      <c r="F3" s="11"/>
      <c r="G3" s="11"/>
      <c r="H3" s="11"/>
      <c r="I3" s="11"/>
      <c r="J3" s="11"/>
    </row>
    <row r="4" spans="2:12" ht="15.75" customHeight="1" x14ac:dyDescent="0.2">
      <c r="B4" s="11"/>
      <c r="C4" s="16"/>
      <c r="D4" s="26"/>
      <c r="E4" s="26"/>
      <c r="F4" s="26"/>
      <c r="G4" s="26"/>
      <c r="H4" s="26"/>
      <c r="I4" s="26"/>
      <c r="J4" s="26"/>
      <c r="K4" s="4"/>
    </row>
    <row r="5" spans="2:12" ht="15.75" customHeight="1" x14ac:dyDescent="0.2">
      <c r="B5" s="1" t="s">
        <v>9</v>
      </c>
      <c r="C5" s="1" t="s">
        <v>10</v>
      </c>
      <c r="D5" s="25">
        <v>46178</v>
      </c>
      <c r="E5" s="25">
        <v>46201</v>
      </c>
      <c r="F5" s="25">
        <v>46231</v>
      </c>
      <c r="G5" s="25">
        <v>46262</v>
      </c>
      <c r="H5" s="25">
        <v>46293</v>
      </c>
      <c r="I5" s="25">
        <v>46323</v>
      </c>
      <c r="J5" s="25">
        <v>46354</v>
      </c>
    </row>
    <row r="6" spans="2:12" ht="15.75" customHeight="1" x14ac:dyDescent="0.2">
      <c r="B6" s="3"/>
      <c r="C6" s="1" t="s">
        <v>12</v>
      </c>
      <c r="D6" s="30">
        <f>-'Debt Given By Skalar Cohort Led'!D6*0.95</f>
        <v>152000</v>
      </c>
      <c r="E6" s="31">
        <f>'Debt Given By Skalar Cohort Led'!E6*0.95</f>
        <v>-11400</v>
      </c>
      <c r="F6" s="31">
        <f>'Debt Given By Skalar Cohort Led'!F6*0.95</f>
        <v>5700</v>
      </c>
      <c r="G6" s="31">
        <f>'Debt Given By Skalar Cohort Led'!G6*0.95</f>
        <v>0</v>
      </c>
      <c r="H6" s="31">
        <f>'Debt Given By Skalar Cohort Led'!H6*0.95</f>
        <v>0</v>
      </c>
      <c r="I6" s="31">
        <f>'Debt Given By Skalar Cohort Led'!I6*0.95</f>
        <v>0</v>
      </c>
      <c r="J6" s="31">
        <f>'Debt Given By Skalar Cohort Led'!J6*0.95</f>
        <v>0</v>
      </c>
    </row>
    <row r="7" spans="2:12" ht="15.75" customHeight="1" x14ac:dyDescent="0.2">
      <c r="B7" s="3"/>
      <c r="C7" s="1" t="s">
        <v>19</v>
      </c>
      <c r="D7" s="31"/>
      <c r="E7" s="31">
        <f ca="1">MAX(-'Debt Given By Skalar Cohort Led'!E7*0.95,-D11+E9)</f>
        <v>0</v>
      </c>
      <c r="F7" s="31">
        <f ca="1">MAX(-'Debt Given By Skalar Cohort Led'!F7*0.95,-E11+F9)</f>
        <v>-79800</v>
      </c>
      <c r="G7" s="31">
        <f ca="1">MAX(-'Debt Given By Skalar Cohort Led'!G7*0.95,-F11+G9)</f>
        <v>-42750</v>
      </c>
      <c r="H7" s="31">
        <f ca="1">MAX(-'Debt Given By Skalar Cohort Led'!H7*0.95,-G11+H9)</f>
        <v>-28157.970471606131</v>
      </c>
      <c r="I7" s="31">
        <f ca="1">MAX(-'Debt Given By Skalar Cohort Led'!I7*0.95,-H11+I9)</f>
        <v>0</v>
      </c>
      <c r="J7" s="31">
        <f ca="1">MAX(-'Debt Given By Skalar Cohort Led'!J7*0.95,-I11+J9)</f>
        <v>0</v>
      </c>
    </row>
    <row r="8" spans="2:12" ht="15.75" customHeight="1" x14ac:dyDescent="0.2">
      <c r="B8" s="5"/>
      <c r="C8" s="6" t="s">
        <v>13</v>
      </c>
      <c r="D8" s="4"/>
      <c r="E8" s="4">
        <f ca="1">E7+(D11*POWER((1+$C$2),(E5-D5)/365)-D11)</f>
        <v>1428.2474347176612</v>
      </c>
      <c r="F8" s="4">
        <f ca="1">F7+(E11*POWER((1+$C$2),(F5-E5)/365)-E11)</f>
        <v>-78056.800021438685</v>
      </c>
      <c r="G8" s="4">
        <f t="shared" ref="G8:J8" ca="1" si="0">G7+(F11*POWER((1+$C$2),(G5-F5)/365)-F11)</f>
        <v>-41866.195441810094</v>
      </c>
      <c r="H8" s="4">
        <f t="shared" ca="1" si="0"/>
        <v>-27805.251971468882</v>
      </c>
      <c r="I8" s="4">
        <f t="shared" ca="1" si="0"/>
        <v>0</v>
      </c>
      <c r="J8" s="4">
        <f t="shared" ca="1" si="0"/>
        <v>0</v>
      </c>
    </row>
    <row r="9" spans="2:12" ht="15.75" customHeight="1" x14ac:dyDescent="0.2">
      <c r="B9" s="5"/>
      <c r="C9" s="7" t="s">
        <v>20</v>
      </c>
      <c r="D9" s="8"/>
      <c r="E9" s="8">
        <f ca="1">E7-E8</f>
        <v>-1428.2474347176612</v>
      </c>
      <c r="F9" s="8">
        <f t="shared" ref="F9:J9" ca="1" si="1">F7-F8</f>
        <v>-1743.1999785613152</v>
      </c>
      <c r="G9" s="8">
        <f t="shared" ca="1" si="1"/>
        <v>-883.80455818990595</v>
      </c>
      <c r="H9" s="8">
        <f t="shared" ca="1" si="1"/>
        <v>-352.71850013724907</v>
      </c>
      <c r="I9" s="8">
        <f ca="1">I7-I8</f>
        <v>0</v>
      </c>
      <c r="J9" s="8">
        <f t="shared" ca="1" si="1"/>
        <v>0</v>
      </c>
    </row>
    <row r="10" spans="2:12" ht="15.75" customHeight="1" x14ac:dyDescent="0.2">
      <c r="B10" s="3"/>
      <c r="C10" s="1" t="s">
        <v>15</v>
      </c>
      <c r="D10" s="4">
        <f>SUM(D6:D7)</f>
        <v>152000</v>
      </c>
      <c r="E10" s="4">
        <f t="shared" ref="E10:J10" ca="1" si="2">SUM(E6:E7)</f>
        <v>-11400</v>
      </c>
      <c r="F10" s="4">
        <f t="shared" ca="1" si="2"/>
        <v>-74100</v>
      </c>
      <c r="G10" s="4">
        <f t="shared" ca="1" si="2"/>
        <v>-42750</v>
      </c>
      <c r="H10" s="4">
        <f t="shared" ca="1" si="2"/>
        <v>-28157.970471606131</v>
      </c>
      <c r="I10" s="4">
        <f t="shared" ca="1" si="2"/>
        <v>0</v>
      </c>
      <c r="J10" s="4">
        <f t="shared" ca="1" si="2"/>
        <v>0</v>
      </c>
    </row>
    <row r="11" spans="2:12" ht="15.75" customHeight="1" x14ac:dyDescent="0.2">
      <c r="C11" s="1" t="s">
        <v>16</v>
      </c>
      <c r="D11" s="4">
        <f>D6</f>
        <v>152000</v>
      </c>
      <c r="E11" s="4">
        <f t="shared" ref="E11:J11" ca="1" si="3">D11+E8+E6</f>
        <v>142028.24743471766</v>
      </c>
      <c r="F11" s="4">
        <f ca="1">E11+F8+F6</f>
        <v>69671.447413278976</v>
      </c>
      <c r="G11" s="4">
        <f t="shared" ca="1" si="3"/>
        <v>27805.251971468882</v>
      </c>
      <c r="H11" s="4">
        <f t="shared" ca="1" si="3"/>
        <v>0</v>
      </c>
      <c r="I11" s="4">
        <f ca="1">H11+I8+I6</f>
        <v>0</v>
      </c>
      <c r="J11" s="4">
        <f t="shared" ca="1" si="3"/>
        <v>0</v>
      </c>
    </row>
    <row r="12" spans="2:12" ht="15.75" customHeight="1" x14ac:dyDescent="0.2">
      <c r="C12" s="1" t="s">
        <v>7</v>
      </c>
      <c r="D12" s="4">
        <f t="shared" ref="D12:J12" si="4">D7-D8-D9</f>
        <v>0</v>
      </c>
      <c r="E12" s="4">
        <f t="shared" ca="1" si="4"/>
        <v>0</v>
      </c>
      <c r="F12" s="4">
        <f t="shared" ca="1" si="4"/>
        <v>0</v>
      </c>
      <c r="G12" s="4">
        <f t="shared" ca="1" si="4"/>
        <v>0</v>
      </c>
      <c r="H12" s="4">
        <f t="shared" ca="1" si="4"/>
        <v>0</v>
      </c>
      <c r="I12" s="4">
        <f t="shared" ca="1" si="4"/>
        <v>0</v>
      </c>
      <c r="J12" s="4">
        <f t="shared" ca="1" si="4"/>
        <v>0</v>
      </c>
    </row>
    <row r="13" spans="2:12" ht="15.75" customHeight="1" x14ac:dyDescent="0.2">
      <c r="C13" s="1" t="s">
        <v>21</v>
      </c>
      <c r="D13" s="22">
        <f ca="1">XIRR(D10:J10,D$5:J$5)</f>
        <v>0.15999999642372145</v>
      </c>
      <c r="E13" s="4"/>
      <c r="F13" s="4"/>
      <c r="G13" s="4"/>
      <c r="H13" s="4"/>
      <c r="I13" s="4"/>
      <c r="J13" s="4"/>
    </row>
    <row r="15" spans="2:12" ht="15.75" customHeight="1" x14ac:dyDescent="0.2">
      <c r="B15" s="1" t="s">
        <v>17</v>
      </c>
      <c r="C15" s="1" t="s">
        <v>10</v>
      </c>
      <c r="D15" s="9">
        <v>46178</v>
      </c>
      <c r="E15" s="9">
        <v>46201</v>
      </c>
      <c r="F15" s="9">
        <v>46231</v>
      </c>
      <c r="G15" s="9">
        <v>46262</v>
      </c>
      <c r="H15" s="9">
        <v>46293</v>
      </c>
      <c r="I15" s="9">
        <v>46323</v>
      </c>
      <c r="J15" s="9">
        <v>46354</v>
      </c>
      <c r="K15" s="13"/>
      <c r="L15" s="13"/>
    </row>
    <row r="16" spans="2:12" ht="15.75" customHeight="1" x14ac:dyDescent="0.2">
      <c r="B16" s="3"/>
      <c r="C16" s="1" t="s">
        <v>12</v>
      </c>
      <c r="D16" s="32"/>
      <c r="E16" s="32">
        <f>-'Debt Given By Skalar Cohort Led'!E16*0.95</f>
        <v>190000</v>
      </c>
      <c r="F16" s="32">
        <f>'Debt Given By Skalar Cohort Led'!F16*0.95</f>
        <v>0</v>
      </c>
      <c r="G16" s="32">
        <f>'Debt Given By Skalar Cohort Led'!G16*0.95</f>
        <v>0</v>
      </c>
      <c r="H16" s="32">
        <f>'Debt Given By Skalar Cohort Led'!H16*0.95</f>
        <v>0</v>
      </c>
      <c r="I16" s="32">
        <f>'Debt Given By Skalar Cohort Led'!I16*0.95</f>
        <v>0</v>
      </c>
      <c r="J16" s="32">
        <f>'Debt Given By Skalar Cohort Led'!J16*0.95</f>
        <v>0</v>
      </c>
      <c r="K16" s="15"/>
    </row>
    <row r="17" spans="2:11" ht="15.75" customHeight="1" x14ac:dyDescent="0.2">
      <c r="B17" s="3"/>
      <c r="C17" s="1" t="s">
        <v>19</v>
      </c>
      <c r="D17" s="32"/>
      <c r="E17" s="32">
        <f ca="1">MAX(-'Debt Given By Skalar Cohort Led'!E17*0.95,-D21+E19)</f>
        <v>0</v>
      </c>
      <c r="F17" s="32">
        <f ca="1">MAX(-'Debt Given By Skalar Cohort Led'!F17*0.95,-E21+F19)</f>
        <v>0</v>
      </c>
      <c r="G17" s="32">
        <f ca="1">MAX(-'Debt Given By Skalar Cohort Led'!G17*0.95,-F21+G19)</f>
        <v>0</v>
      </c>
      <c r="H17" s="32">
        <f ca="1">MAX(-'Debt Given By Skalar Cohort Led'!H17*0.95,-G21+H19)</f>
        <v>0</v>
      </c>
      <c r="I17" s="32">
        <f ca="1">MAX(-'Debt Given By Skalar Cohort Led'!I17*0.95,-H21+I19)</f>
        <v>0</v>
      </c>
      <c r="J17" s="32">
        <f ca="1">MAX(-'Debt Given By Skalar Cohort Led'!J17*0.95,-I21+J19)</f>
        <v>0</v>
      </c>
      <c r="K17" s="15"/>
    </row>
    <row r="18" spans="2:11" ht="15.75" customHeight="1" x14ac:dyDescent="0.2">
      <c r="B18" s="5"/>
      <c r="C18" s="6" t="s">
        <v>13</v>
      </c>
      <c r="D18" s="4"/>
      <c r="E18" s="4">
        <f ca="1">E17+(D21*POWER((1+$C$2),(E5-D5)/365)-D21)</f>
        <v>0</v>
      </c>
      <c r="F18" s="4">
        <f ca="1">F17+(E21*POWER((1+$C$2),(F5-E5)/365)-E21)</f>
        <v>2331.9867836775666</v>
      </c>
      <c r="G18" s="4">
        <f t="shared" ref="G18:J18" ca="1" si="5">G17+(F21*POWER((1+$C$2),(G5-F5)/365)-F21)</f>
        <v>2439.7926685349375</v>
      </c>
      <c r="H18" s="4">
        <f t="shared" ca="1" si="5"/>
        <v>2470.7422176192049</v>
      </c>
      <c r="I18" s="4">
        <f t="shared" ca="1" si="5"/>
        <v>2420.8787037541333</v>
      </c>
      <c r="J18" s="4">
        <f t="shared" ca="1" si="5"/>
        <v>2532.7939910178829</v>
      </c>
    </row>
    <row r="19" spans="2:11" ht="15.75" customHeight="1" x14ac:dyDescent="0.2">
      <c r="B19" s="5"/>
      <c r="C19" s="7" t="s">
        <v>20</v>
      </c>
      <c r="D19" s="8"/>
      <c r="E19" s="8">
        <f ca="1">E17-E18</f>
        <v>0</v>
      </c>
      <c r="F19" s="8">
        <f ca="1">F17-F18</f>
        <v>-2331.9867836775666</v>
      </c>
      <c r="G19" s="8">
        <f t="shared" ref="G19" ca="1" si="6">G17-G18</f>
        <v>-2439.7926685349375</v>
      </c>
      <c r="H19" s="8">
        <f ca="1">H17-H18</f>
        <v>-2470.7422176192049</v>
      </c>
      <c r="I19" s="8">
        <f t="shared" ref="I19:J19" ca="1" si="7">I17-I18</f>
        <v>-2420.8787037541333</v>
      </c>
      <c r="J19" s="8">
        <f t="shared" ca="1" si="7"/>
        <v>-2532.7939910178829</v>
      </c>
    </row>
    <row r="20" spans="2:11" ht="15.75" customHeight="1" x14ac:dyDescent="0.2">
      <c r="B20" s="3"/>
      <c r="C20" s="1" t="s">
        <v>15</v>
      </c>
      <c r="D20" s="4">
        <f>SUM(D16:D17)</f>
        <v>0</v>
      </c>
      <c r="E20" s="4">
        <f t="shared" ref="E20:J20" ca="1" si="8">SUM(E16:E17)</f>
        <v>190000</v>
      </c>
      <c r="F20" s="4">
        <f t="shared" ca="1" si="8"/>
        <v>0</v>
      </c>
      <c r="G20" s="4">
        <f t="shared" ca="1" si="8"/>
        <v>0</v>
      </c>
      <c r="H20" s="4">
        <f t="shared" ca="1" si="8"/>
        <v>0</v>
      </c>
      <c r="I20" s="4">
        <f t="shared" ca="1" si="8"/>
        <v>0</v>
      </c>
      <c r="J20" s="4">
        <f t="shared" ca="1" si="8"/>
        <v>0</v>
      </c>
    </row>
    <row r="21" spans="2:11" ht="15.75" customHeight="1" x14ac:dyDescent="0.2">
      <c r="C21" s="1" t="s">
        <v>16</v>
      </c>
      <c r="D21" s="4">
        <f>D16</f>
        <v>0</v>
      </c>
      <c r="E21" s="4">
        <f t="shared" ref="E21" ca="1" si="9">D21+E18+E16</f>
        <v>190000</v>
      </c>
      <c r="F21" s="4">
        <f ca="1">E21+F18+F16</f>
        <v>192331.98678367757</v>
      </c>
      <c r="G21" s="4">
        <f t="shared" ref="G21" ca="1" si="10">F21+G18+G16</f>
        <v>194771.7794522125</v>
      </c>
      <c r="H21" s="4">
        <f t="shared" ref="H21" ca="1" si="11">G21+H18+H16</f>
        <v>197242.52166983171</v>
      </c>
      <c r="I21" s="4">
        <f ca="1">H21+I18+I16</f>
        <v>199663.40037358584</v>
      </c>
      <c r="J21" s="4">
        <f t="shared" ref="J21" ca="1" si="12">I21+J18+J16</f>
        <v>202196.19436460373</v>
      </c>
    </row>
    <row r="22" spans="2:11" ht="15.75" customHeight="1" x14ac:dyDescent="0.2">
      <c r="C22" s="1" t="s">
        <v>7</v>
      </c>
      <c r="D22" s="4">
        <f t="shared" ref="D22:J22" si="13">D17-D18-D19</f>
        <v>0</v>
      </c>
      <c r="E22" s="4">
        <f t="shared" ca="1" si="13"/>
        <v>0</v>
      </c>
      <c r="F22" s="4">
        <f ca="1">F17-F18-F19</f>
        <v>0</v>
      </c>
      <c r="G22" s="4">
        <f t="shared" ca="1" si="13"/>
        <v>0</v>
      </c>
      <c r="H22" s="4">
        <f t="shared" ca="1" si="13"/>
        <v>0</v>
      </c>
      <c r="I22" s="4">
        <f t="shared" ca="1" si="13"/>
        <v>0</v>
      </c>
      <c r="J22" s="4">
        <f t="shared" ca="1" si="13"/>
        <v>0</v>
      </c>
    </row>
    <row r="23" spans="2:11" ht="15.75" customHeight="1" x14ac:dyDescent="0.2">
      <c r="C23" s="1" t="s">
        <v>21</v>
      </c>
      <c r="D23" s="22" t="e">
        <f ca="1">XIRR(E20:J20,E$5:J$5)</f>
        <v>#NUM!</v>
      </c>
    </row>
    <row r="25" spans="2:11" ht="15.75" customHeight="1" x14ac:dyDescent="0.2">
      <c r="B25" s="1" t="s">
        <v>18</v>
      </c>
      <c r="C25" s="1" t="s">
        <v>10</v>
      </c>
      <c r="D25" s="9">
        <f t="shared" ref="D25:J25" si="14">D5</f>
        <v>46178</v>
      </c>
      <c r="E25" s="9">
        <f t="shared" si="14"/>
        <v>46201</v>
      </c>
      <c r="F25" s="9">
        <f t="shared" si="14"/>
        <v>46231</v>
      </c>
      <c r="G25" s="9">
        <f t="shared" si="14"/>
        <v>46262</v>
      </c>
      <c r="H25" s="9">
        <f t="shared" si="14"/>
        <v>46293</v>
      </c>
      <c r="I25" s="9">
        <f t="shared" si="14"/>
        <v>46323</v>
      </c>
      <c r="J25" s="9">
        <f t="shared" si="14"/>
        <v>46354</v>
      </c>
    </row>
    <row r="26" spans="2:11" ht="15.75" customHeight="1" x14ac:dyDescent="0.2">
      <c r="C26" s="1" t="s">
        <v>12</v>
      </c>
      <c r="D26" s="4">
        <f>SUM(D6,D16)</f>
        <v>152000</v>
      </c>
      <c r="E26" s="4">
        <f>SUM(E6,E16)</f>
        <v>178600</v>
      </c>
      <c r="F26" s="4">
        <f>SUM(F6,F16)</f>
        <v>5700</v>
      </c>
      <c r="G26" s="4">
        <f t="shared" ref="G26:J26" si="15">SUM(G6,G16)</f>
        <v>0</v>
      </c>
      <c r="H26" s="4">
        <f t="shared" si="15"/>
        <v>0</v>
      </c>
      <c r="I26" s="4">
        <f t="shared" si="15"/>
        <v>0</v>
      </c>
      <c r="J26" s="4">
        <f t="shared" si="15"/>
        <v>0</v>
      </c>
    </row>
    <row r="27" spans="2:11" ht="15.75" customHeight="1" x14ac:dyDescent="0.2">
      <c r="C27" s="1" t="s">
        <v>19</v>
      </c>
      <c r="D27" s="4">
        <f t="shared" ref="D27:J27" si="16">SUM(D7,D17)</f>
        <v>0</v>
      </c>
      <c r="E27" s="4">
        <f t="shared" ca="1" si="16"/>
        <v>0</v>
      </c>
      <c r="F27" s="4">
        <f t="shared" ca="1" si="16"/>
        <v>-79800</v>
      </c>
      <c r="G27" s="4">
        <f t="shared" ca="1" si="16"/>
        <v>-42750</v>
      </c>
      <c r="H27" s="4">
        <f t="shared" ca="1" si="16"/>
        <v>-28157.970471606131</v>
      </c>
      <c r="I27" s="4">
        <f t="shared" ca="1" si="16"/>
        <v>0</v>
      </c>
      <c r="J27" s="4">
        <f t="shared" ca="1" si="16"/>
        <v>0</v>
      </c>
    </row>
    <row r="28" spans="2:11" ht="15.75" customHeight="1" x14ac:dyDescent="0.2">
      <c r="C28" s="6" t="s">
        <v>13</v>
      </c>
      <c r="D28" s="4">
        <f t="shared" ref="D28:J28" si="17">SUM(D8,D18)</f>
        <v>0</v>
      </c>
      <c r="E28" s="4">
        <f t="shared" ca="1" si="17"/>
        <v>1428.2474347176612</v>
      </c>
      <c r="F28" s="4">
        <f ca="1">SUM(F8,F18)</f>
        <v>-75724.813237761118</v>
      </c>
      <c r="G28" s="4">
        <f t="shared" ca="1" si="17"/>
        <v>-39426.402773275157</v>
      </c>
      <c r="H28" s="4">
        <f t="shared" ca="1" si="17"/>
        <v>-25334.509753849678</v>
      </c>
      <c r="I28" s="4">
        <f t="shared" ca="1" si="17"/>
        <v>2420.8787037541333</v>
      </c>
      <c r="J28" s="4">
        <f t="shared" ca="1" si="17"/>
        <v>2532.7939910178829</v>
      </c>
    </row>
    <row r="29" spans="2:11" ht="15.75" customHeight="1" x14ac:dyDescent="0.2">
      <c r="C29" s="7" t="s">
        <v>20</v>
      </c>
      <c r="D29" s="8">
        <f t="shared" ref="D29:J29" si="18">SUM(D9,D19)</f>
        <v>0</v>
      </c>
      <c r="E29" s="8">
        <f t="shared" ca="1" si="18"/>
        <v>-1428.2474347176612</v>
      </c>
      <c r="F29" s="8">
        <f t="shared" ca="1" si="18"/>
        <v>-4075.1867622388818</v>
      </c>
      <c r="G29" s="8">
        <f t="shared" ca="1" si="18"/>
        <v>-3323.5972267248435</v>
      </c>
      <c r="H29" s="8">
        <f t="shared" ca="1" si="18"/>
        <v>-2823.460717756454</v>
      </c>
      <c r="I29" s="8">
        <f t="shared" ca="1" si="18"/>
        <v>-2420.8787037541333</v>
      </c>
      <c r="J29" s="8">
        <f t="shared" ca="1" si="18"/>
        <v>-2532.7939910178829</v>
      </c>
    </row>
    <row r="30" spans="2:11" ht="15.75" customHeight="1" x14ac:dyDescent="0.2">
      <c r="C30" s="1" t="s">
        <v>15</v>
      </c>
      <c r="D30" s="4">
        <f t="shared" ref="D30:J30" si="19">SUM(D10,D20)</f>
        <v>152000</v>
      </c>
      <c r="E30" s="4">
        <f t="shared" ca="1" si="19"/>
        <v>178600</v>
      </c>
      <c r="F30" s="4">
        <f t="shared" ca="1" si="19"/>
        <v>-74100</v>
      </c>
      <c r="G30" s="4">
        <f t="shared" ca="1" si="19"/>
        <v>-42750</v>
      </c>
      <c r="H30" s="4">
        <f t="shared" ca="1" si="19"/>
        <v>-28157.970471606131</v>
      </c>
      <c r="I30" s="4">
        <f t="shared" ca="1" si="19"/>
        <v>0</v>
      </c>
      <c r="J30" s="4">
        <f t="shared" ca="1" si="19"/>
        <v>0</v>
      </c>
    </row>
    <row r="31" spans="2:11" ht="15.75" customHeight="1" x14ac:dyDescent="0.2">
      <c r="C31" s="1" t="s">
        <v>16</v>
      </c>
      <c r="D31" s="4">
        <f t="shared" ref="D31:J31" si="20">SUM(D11,D21)</f>
        <v>152000</v>
      </c>
      <c r="E31" s="4">
        <f t="shared" ca="1" si="20"/>
        <v>332028.24743471766</v>
      </c>
      <c r="F31" s="4">
        <f t="shared" ca="1" si="20"/>
        <v>262003.43419695654</v>
      </c>
      <c r="G31" s="4">
        <f t="shared" ca="1" si="20"/>
        <v>222577.03142368139</v>
      </c>
      <c r="H31" s="4">
        <f t="shared" ca="1" si="20"/>
        <v>197242.52166983171</v>
      </c>
      <c r="I31" s="4">
        <f t="shared" ca="1" si="20"/>
        <v>199663.40037358584</v>
      </c>
      <c r="J31" s="4">
        <f t="shared" ca="1" si="20"/>
        <v>202196.19436460373</v>
      </c>
    </row>
    <row r="32" spans="2:11" ht="15.75" customHeight="1" x14ac:dyDescent="0.2">
      <c r="C32" s="1" t="s">
        <v>7</v>
      </c>
      <c r="D32" s="4">
        <f>SUM(D26:D27)-D30</f>
        <v>0</v>
      </c>
      <c r="E32" s="4">
        <f t="shared" ref="E32:J32" ca="1" si="21">SUM(E26:E27)-E30</f>
        <v>0</v>
      </c>
      <c r="F32" s="4">
        <f t="shared" ca="1" si="21"/>
        <v>0</v>
      </c>
      <c r="G32" s="4">
        <f t="shared" ca="1" si="21"/>
        <v>0</v>
      </c>
      <c r="H32" s="4">
        <f t="shared" ca="1" si="21"/>
        <v>0</v>
      </c>
      <c r="I32" s="4">
        <f t="shared" ca="1" si="21"/>
        <v>0</v>
      </c>
      <c r="J32" s="4">
        <f t="shared" ca="1" si="21"/>
        <v>0</v>
      </c>
    </row>
    <row r="33" spans="3:4" ht="15.75" customHeight="1" x14ac:dyDescent="0.2">
      <c r="C33" s="1" t="s">
        <v>21</v>
      </c>
      <c r="D33" s="22">
        <f ca="1">XIRR(D30:J30,D$5:J$5)</f>
        <v>-0.99035013448447007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99BD-BBB7-864A-8D6B-4AF4C6D6A999}">
  <dimension ref="B2:F15"/>
  <sheetViews>
    <sheetView workbookViewId="0">
      <selection activeCell="F14" sqref="F14"/>
    </sheetView>
  </sheetViews>
  <sheetFormatPr defaultColWidth="11.42578125" defaultRowHeight="12.75" x14ac:dyDescent="0.2"/>
  <cols>
    <col min="2" max="2" width="100.28515625" bestFit="1" customWidth="1"/>
    <col min="4" max="4" width="15.42578125" bestFit="1" customWidth="1"/>
  </cols>
  <sheetData>
    <row r="2" spans="2:6" x14ac:dyDescent="0.2">
      <c r="B2" s="18" t="s">
        <v>31</v>
      </c>
    </row>
    <row r="3" spans="2:6" x14ac:dyDescent="0.2">
      <c r="B3" s="18" t="s">
        <v>32</v>
      </c>
    </row>
    <row r="4" spans="2:6" x14ac:dyDescent="0.2">
      <c r="B4" s="18" t="s">
        <v>33</v>
      </c>
    </row>
    <row r="5" spans="2:6" x14ac:dyDescent="0.2">
      <c r="B5" s="18" t="s">
        <v>34</v>
      </c>
    </row>
    <row r="6" spans="2:6" x14ac:dyDescent="0.2">
      <c r="B6" s="18" t="s">
        <v>35</v>
      </c>
    </row>
    <row r="7" spans="2:6" x14ac:dyDescent="0.2">
      <c r="B7" s="18" t="s">
        <v>36</v>
      </c>
    </row>
    <row r="8" spans="2:6" x14ac:dyDescent="0.2">
      <c r="B8" s="18" t="s">
        <v>37</v>
      </c>
    </row>
    <row r="10" spans="2:6" x14ac:dyDescent="0.2">
      <c r="B10" s="18" t="s">
        <v>30</v>
      </c>
      <c r="C10" s="18" t="s">
        <v>22</v>
      </c>
      <c r="D10" s="18" t="s">
        <v>23</v>
      </c>
      <c r="E10" s="18" t="s">
        <v>10</v>
      </c>
      <c r="F10" s="18" t="s">
        <v>25</v>
      </c>
    </row>
    <row r="11" spans="2:6" x14ac:dyDescent="0.2">
      <c r="B11">
        <v>-160000</v>
      </c>
      <c r="C11" s="28">
        <v>46174</v>
      </c>
      <c r="D11" s="18" t="s">
        <v>29</v>
      </c>
      <c r="E11" s="29">
        <v>46178</v>
      </c>
      <c r="F11" s="18" t="s">
        <v>27</v>
      </c>
    </row>
    <row r="12" spans="2:6" x14ac:dyDescent="0.2">
      <c r="B12">
        <v>-200000</v>
      </c>
      <c r="C12" s="28">
        <v>46204</v>
      </c>
      <c r="D12" s="18" t="s">
        <v>29</v>
      </c>
      <c r="E12" s="29">
        <v>46178</v>
      </c>
      <c r="F12" s="18" t="s">
        <v>27</v>
      </c>
    </row>
    <row r="13" spans="2:6" x14ac:dyDescent="0.2">
      <c r="F13" s="18" t="s">
        <v>26</v>
      </c>
    </row>
    <row r="14" spans="2:6" x14ac:dyDescent="0.2">
      <c r="F14" s="18" t="s">
        <v>28</v>
      </c>
    </row>
    <row r="15" spans="2:6" x14ac:dyDescent="0.2">
      <c r="C15" s="29">
        <v>46199</v>
      </c>
      <c r="E15" s="18" t="s">
        <v>38</v>
      </c>
      <c r="F15" s="18" t="s">
        <v>26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Debt Given By Skalar Cohort Led</vt:lpstr>
      <vt:lpstr>Debt Taken by Skalar Cohort Led</vt:lpstr>
      <vt:lpstr>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 Fierro</cp:lastModifiedBy>
  <dcterms:created xsi:type="dcterms:W3CDTF">2026-06-16T22:16:07Z</dcterms:created>
  <dcterms:modified xsi:type="dcterms:W3CDTF">2026-06-18T02:07:13Z</dcterms:modified>
</cp:coreProperties>
</file>